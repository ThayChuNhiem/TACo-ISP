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 dan" sheetId="1" state="visible" r:id="rId3"/>
    <sheet name="Tong hop" sheetId="2" state="visible" r:id="rId4"/>
    <sheet name="Tien do" sheetId="3" state="visible" r:id="rId5"/>
    <sheet name="TV1" sheetId="4" state="visible" r:id="rId6"/>
    <sheet name="TV2" sheetId="5" state="visible" r:id="rId7"/>
    <sheet name="TV3" sheetId="6" state="visible" r:id="rId8"/>
  </sheets>
  <definedNames>
    <definedName function="false" hidden="true" localSheetId="1" name="_xlnm._FilterDatabase" vbProcedure="false">'Tong hop'!$A$1:$I$66</definedName>
    <definedName function="false" hidden="true" localSheetId="3" name="_xlnm._FilterDatabase" vbProcedure="false">TV1!$A$1:$G$66</definedName>
    <definedName function="false" hidden="true" localSheetId="4" name="_xlnm._FilterDatabase" vbProcedure="false">TV2!$A$1:$G$66</definedName>
    <definedName function="false" hidden="true" localSheetId="5" name="_xlnm._FilterDatabase" vbProcedure="false">TV3!$A$1:$G$66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<sst xmlns="http://schemas.openxmlformats.org/spreadsheetml/2006/main" count="930" uniqueCount="285">
  <si>
    <t xml:space="preserve">Kế hoạch từng tuần — TACo-ISP (KV260), 65 tuần: 05/10/2026 – 02/01/2028</t>
  </si>
  <si>
    <t xml:space="preserve">Sheet TV1, TV2, TV3: kế hoạch riêng của từng sinh viên. Sheet 'Tong hop': cả nhóm theo tuần. Sheet 'Tien do': tự đếm theo trạng thái.</t>
  </si>
  <si>
    <t xml:space="preserve">Ô NỀN VÀNG là ô cần điền hằng tuần: cột Trạng thái (chọn từ danh sách) và Ghi chú. Các cột khác là kế hoạch gốc, không sửa.</t>
  </si>
  <si>
    <t xml:space="preserve">Ví dụ một dòng đã điền: Tuần 1 · Trạng thái = 'Xong' · Ghi chú = 'Vitis AI 3.0 docker chạy; image hash a1b2c3 ghi vào ENV.md'.</t>
  </si>
  <si>
    <t xml:space="preserve">Hàng nền xanh là tuần có cổng kiểm tra (G0–G6) hoặc nộp bài; tiêu chí cổng xem mục 7 của Đề cương.</t>
  </si>
  <si>
    <t xml:space="preserve">Họp nhóm thứ Hai hằng tuần: mỗi người cập nhật Trạng thái tuần vừa qua trước khi họp.</t>
  </si>
  <si>
    <t xml:space="preserve">Vai trò</t>
  </si>
  <si>
    <t xml:space="preserve">TV1: Phần cứng PL (HLS ISP, Stream-to-Tensor, Vivado/Vitis, timing)</t>
  </si>
  <si>
    <t xml:space="preserve">TV2: Phần mềm PS và đo lường (Linux, VART zero-copy, đo độ trễ/năng lượng)</t>
  </si>
  <si>
    <t xml:space="preserve">TV3: AI và dữ liệu (RAW, twin, huấn luyện, bộ điều khiển)</t>
  </si>
  <si>
    <t xml:space="preserve">Giai đoạn</t>
  </si>
  <si>
    <t xml:space="preserve">GĐ1 Nền tảng, baseline, dữ liệu: tuần 1–14</t>
  </si>
  <si>
    <t xml:space="preserve">GĐ2 ISP + S2T trên PL, twin khớp bit: tuần 15–26</t>
  </si>
  <si>
    <t xml:space="preserve">GĐ3 Thí nghiệm, nộp bài A: tuần 27–40</t>
  </si>
  <si>
    <t xml:space="preserve">GĐ4 HW-in-loop, vòng kín: tuần 41–56</t>
  </si>
  <si>
    <t xml:space="preserve">GĐ5 Viết, nộp bài B, phát hành: tuần 57–65</t>
  </si>
  <si>
    <t xml:space="preserve">Tuần</t>
  </si>
  <si>
    <t xml:space="preserve">Thứ Hai</t>
  </si>
  <si>
    <t xml:space="preserve">TV1 — Phần cứng PL</t>
  </si>
  <si>
    <t xml:space="preserve">TV2 — PS, đo lường</t>
  </si>
  <si>
    <t xml:space="preserve">TV3 — AI, dữ liệu</t>
  </si>
  <si>
    <t xml:space="preserve">Đầu ra dự kiến của tuần (cả nhóm)</t>
  </si>
  <si>
    <t xml:space="preserve">TT TV1</t>
  </si>
  <si>
    <t xml:space="preserve">TT TV2</t>
  </si>
  <si>
    <t xml:space="preserve">TT TV3</t>
  </si>
  <si>
    <t xml:space="preserve">Cài Vivado/Vitis/Vitis HLS 2022.2; học hls::stream, dataflow, AXI4-Stream (UG1399 ch. 1–4)</t>
  </si>
  <si>
    <t xml:space="preserve">Ghi SD image Vitis AI 3.0 cho KV260; SSH, xmutil; chạy mẫu Vitis AI Library</t>
  </si>
  <si>
    <t xml:space="preserve">Khảo sát ISP hướng tác vụ (AdaptiveISP, Mosleh 2020, ReconfigISP, GenISP, Dirty Pixels); dựng Docker Vitis AI 3.0</t>
  </si>
  <si>
    <t xml:space="preserve">Môi trường chạy được; bảng khảo sát 15 bài</t>
  </si>
  <si>
    <t xml:space="preserve">Build lại TRD DPU B4096 cho KV260 từ Vitis AI 3.0</t>
  </si>
  <si>
    <t xml:space="preserve">Cắm IMX219 vào J9, nạp overlay camera có sẵn, media-ctl 1080p RAW10</t>
  </si>
  <si>
    <t xml:space="preserve">Lấy YOLOX-nano ReLU từ Model Zoo, PTQ, biên dịch xmodel B4096</t>
  </si>
  <si>
    <t xml:space="preserve">Ảnh RAW đầu tiên; xmodel 1 subgraph</t>
  </si>
  <si>
    <t xml:space="preserve">Block design CSI-2 RX + Demosaic IP chuẩn theo thiết kế mở; đọc Vitis Vision ISP</t>
  </si>
  <si>
    <t xml:space="preserve">Ứng dụng BA1 bản đầu (V4L2 → OpenCV → VART, C++)</t>
  </si>
  <si>
    <t xml:space="preserve">Khảo sát dữ liệu RAW (LOD, PASCALRAW, ROD); viết unprocess COCO</t>
  </si>
  <si>
    <t xml:space="preserve">BA1 chạy trên ảnh tĩnh</t>
  </si>
  <si>
    <t xml:space="preserve">Overlay DPU + CSI-2 (hoặc overlay có sẵn) — xdputil query</t>
  </si>
  <si>
    <t xml:space="preserve">YOLOX-nano chạy trên luồng camera; FPS thô</t>
  </si>
  <si>
    <t xml:space="preserve">Viết nháp mục Liên quan cho bài A và B</t>
  </si>
  <si>
    <t xml:space="preserve">G0</t>
  </si>
  <si>
    <t xml:space="preserve">isp_core: BLC + DPC/NR cửa sổ 5×5 phản xạ biên, testbench C++</t>
  </si>
  <si>
    <t xml:space="preserve">Thiết kế hệ đo: AXI Timer + GPIO (cùng TV1), thư viện dấu thời gian</t>
  </si>
  <si>
    <t xml:space="preserve">Chụp ảnh tối + ảnh phẳng ở 4 mức analog gain</t>
  </si>
  <si>
    <t xml:space="preserve">Testbench BLC/DPC/NR chạy</t>
  </si>
  <si>
    <t xml:space="preserve">Demosaic Malvar–He–Cutler 5×5</t>
  </si>
  <si>
    <t xml:space="preserve">Mạch INA228 + MCU, firmware 1 kHz, đồng bộ GPIO</t>
  </si>
  <si>
    <t xml:space="preserve">isp_ref.py khớp bit cho BLC/DPC/NR; khớp mô hình nhiễu (a, b)</t>
  </si>
  <si>
    <t xml:space="preserve">Log công suất 12 V đầu tiên</t>
  </si>
  <si>
    <t xml:space="preserve">WB + CCM + LUT tone + khối thống kê</t>
  </si>
  <si>
    <t xml:space="preserve">Hiệu chuẩn INA228 với tải và đồng hồ chuẩn</t>
  </si>
  <si>
    <t xml:space="preserve">isp_ref.py đủ chuỗi; make test so C++ ↔ NumPy</t>
  </si>
  <si>
    <t xml:space="preserve">Khớp bit 100 % trên khung tổng hợp</t>
  </si>
  <si>
    <t xml:space="preserve">C-synth isp_top 1080p @150 MHz, II = 1, báo cáo tài nguyên</t>
  </si>
  <si>
    <t xml:space="preserve">LED glass-to-decision; kiểm tra độ lặp lại 5 lần</t>
  </si>
  <si>
    <t xml:space="preserve">Đưa make test vào CI; kịch bản thu KV-RAW-LUX (hộp sáng, lux kế)</t>
  </si>
  <si>
    <t xml:space="preserve">Báo cáo synth; p50 lặp lại ≤ 2 %</t>
  </si>
  <si>
    <t xml:space="preserve">Co-sim RTL isp_top với 10 khung</t>
  </si>
  <si>
    <t xml:space="preserve">TN-A1: BA1 với 3 mô hình, 10 000 khung × 3</t>
  </si>
  <si>
    <t xml:space="preserve">Thu D3 đợt 1 (trong nhà, 7 mức lux), RAW10 qua V4L2</t>
  </si>
  <si>
    <t xml:space="preserve">Co-sim đạt</t>
  </si>
  <si>
    <t xml:space="preserve">s2t_core: resize bilinear căn tâm pixel + lượng tử; so với cv2</t>
  </si>
  <si>
    <t xml:space="preserve">BA2 (tiền xử lý NEON của Vitis AI Library) + TN-A1</t>
  </si>
  <si>
    <t xml:space="preserve">D3 đợt 1 tiếp; công cụ giải nén RAW10</t>
  </si>
  <si>
    <t xml:space="preserve">Sai khác S2T so với cv2 ≤ 2 LSB</t>
  </si>
  <si>
    <t xml:space="preserve">Bộ ghi m_axi của S2T (burst), C-synth</t>
  </si>
  <si>
    <t xml:space="preserve">Phân tích TN-A1: phân rã độ trễ, bootstrap theo khối</t>
  </si>
  <si>
    <t xml:space="preserve">Gán nhãn D3 trên CVAT, 6 lớp; gán kép 10 %</t>
  </si>
  <si>
    <t xml:space="preserve">T-A1 sơ bộ cho BA1</t>
  </si>
  <si>
    <t xml:space="preserve">Bản m2m của S2T (đọc RGB từ DDR) cho BA3 + test</t>
  </si>
  <si>
    <t xml:space="preserve">Đo công suất nền; năng lượng BA1/BA2</t>
  </si>
  <si>
    <t xml:space="preserve">Twin PyTorch v0 (float), so với isp_ref.py</t>
  </si>
  <si>
    <t xml:space="preserve">T-A2 sơ bộ cho BA1/BA2</t>
  </si>
  <si>
    <t xml:space="preserve">isp_top + s2t_top vào block design (chưa DPU), camera → ISP → VDMA</t>
  </si>
  <si>
    <t xml:space="preserve">Báo cáo RQ1: T-A1 + F-A2 sơ bộ</t>
  </si>
  <si>
    <t xml:space="preserve">Twin v1 khớp bit (STE), test forward = isp_ref.py</t>
  </si>
  <si>
    <t xml:space="preserve">Twin khớp bit</t>
  </si>
  <si>
    <t xml:space="preserve">Đọc thống kê ISP trên board (mùa thi — việc nhẹ)</t>
  </si>
  <si>
    <t xml:space="preserve">Tổng hợp số liệu G1 (mùa thi)</t>
  </si>
  <si>
    <t xml:space="preserve">Unprocess COCO → D1 với nhiễu đã hiệu chuẩn</t>
  </si>
  <si>
    <t xml:space="preserve">G1</t>
  </si>
  <si>
    <t xml:space="preserve">Vitis link: DPU + isp_top + s2t_top + CSI-2 (link.cfg), build 1 (mùa thi)</t>
  </si>
  <si>
    <t xml:space="preserve">Đọc mã VART: RunnerExt, TensorBuffer::data_phy(), fix_point (mùa thi)</t>
  </si>
  <si>
    <t xml:space="preserve">Twin trên D1: học ISP với detector đóng băng (kiểm tra tính đúng)</t>
  </si>
  <si>
    <t xml:space="preserve">Build 1 xong</t>
  </si>
  <si>
    <t xml:space="preserve">Sửa timing build 1, pblock cho ISP</t>
  </si>
  <si>
    <t xml:space="preserve">PoC zero-copy: UIO cho S2T, ghi dst = data_phy, execute_async</t>
  </si>
  <si>
    <t xml:space="preserve">B1, B2 trên D1: xử lý ảnh, huấn luyện detector</t>
  </si>
  <si>
    <t xml:space="preserve">PoC chạy một khung</t>
  </si>
  <si>
    <t xml:space="preserve">Build 2 đóng timing; device-tree overlay cho 2 kernel</t>
  </si>
  <si>
    <t xml:space="preserve">Kiểm tra tensor PL = tensor CPU (0 sai khác) trên 500 khung</t>
  </si>
  <si>
    <t xml:space="preserve">B3: detector tinh chỉnh trên ảnh qua B2</t>
  </si>
  <si>
    <t xml:space="preserve">WNS ≥ 0; ND5 đạt</t>
  </si>
  <si>
    <t xml:space="preserve">ISP chạy trên camera 1080p; hiệu chuẩn BLC, CCM từ bảng 24 ô</t>
  </si>
  <si>
    <t xml:space="preserve">Ứng dụng P-TACo 4 luồng, 3 bộ đệm</t>
  </si>
  <si>
    <t xml:space="preserve">Thu D3 đợt 2 (ngoài trời, ban đêm)</t>
  </si>
  <si>
    <t xml:space="preserve">Video trực tiếp qua ISP mới</t>
  </si>
  <si>
    <t xml:space="preserve">Nghỉ Tết</t>
  </si>
  <si>
    <t xml:space="preserve">—</t>
  </si>
  <si>
    <t xml:space="preserve">Kernel replay RAW từ DDR vào ISP (đo mAP trên HW)</t>
  </si>
  <si>
    <t xml:space="preserve">Đo độ trễ áp dụng phơi sáng/gain qua I2C (R9)</t>
  </si>
  <si>
    <t xml:space="preserve">Gán nhãn D3 đợt 2; kiểm đếm ≥ 800 khung (R8)</t>
  </si>
  <si>
    <t xml:space="preserve">Replay chạy</t>
  </si>
  <si>
    <t xml:space="preserve">Khớp bit trên board: RAW replay → so với isp_ref.py</t>
  </si>
  <si>
    <t xml:space="preserve">Đảm bảo ≥ 30 FPS, gỡ nghẽn</t>
  </si>
  <si>
    <t xml:space="preserve">Twin v2: kiểm tra twin = HW replay (cùng TV1)</t>
  </si>
  <si>
    <t xml:space="preserve">Khớp bit trên HW</t>
  </si>
  <si>
    <t xml:space="preserve">Bắt đầu build DSE: DPU B3136/B2304 + ISP đầy đủ (chạy đêm)</t>
  </si>
  <si>
    <t xml:space="preserve">Hạ tầng thí nghiệm tự động (experiments/run_*.sh → CSV)</t>
  </si>
  <si>
    <t xml:space="preserve">Huấn luyện đồng thời ISP + detector (float) trên D1 + D3-train</t>
  </si>
  <si>
    <t xml:space="preserve">2 điểm DSE</t>
  </si>
  <si>
    <t xml:space="preserve">Build DSE với ISP tối thiểu</t>
  </si>
  <si>
    <t xml:space="preserve">TN-A1 lặp lại cho P-TACo sơ bộ</t>
  </si>
  <si>
    <t xml:space="preserve">QAT bằng vai_q_pytorch với twin phía trước; xuất xmodel + thanh ghi ISP</t>
  </si>
  <si>
    <t xml:space="preserve">P-TACo sơ bộ &lt; BA1 về p99</t>
  </si>
  <si>
    <t xml:space="preserve">Tối ưu S2T (burst); chuẩn bị biến thể HP/HPC (A5)</t>
  </si>
  <si>
    <t xml:space="preserve">Cấu hình AXI Performance Monitor trên cổng HP</t>
  </si>
  <si>
    <t xml:space="preserve">Tone nhận biết lượng tử (N-B2)</t>
  </si>
  <si>
    <t xml:space="preserve">APM đọc được byte/khung</t>
  </si>
  <si>
    <t xml:space="preserve">Tài liệu hoá phần cứng (README, bản đồ thanh ghi)</t>
  </si>
  <si>
    <t xml:space="preserve">Kịch bản TN-A2–TN-A4 sẵn sàng</t>
  </si>
  <si>
    <t xml:space="preserve">Đánh giá sơ bộ P-static trên D3-val</t>
  </si>
  <si>
    <t xml:space="preserve">Kho mã có hướng dẫn build</t>
  </si>
  <si>
    <t xml:space="preserve">Demo G2; khoá bitstream v1.0 (ghi hash)</t>
  </si>
  <si>
    <t xml:space="preserve">Demo G2; khoá SD image</t>
  </si>
  <si>
    <t xml:space="preserve">Báo cáo G2 phần twin</t>
  </si>
  <si>
    <t xml:space="preserve">G2</t>
  </si>
  <si>
    <t xml:space="preserve">Triển khai BA3 (S2T m2m) trong overlay đã khoá</t>
  </si>
  <si>
    <t xml:space="preserve">TN-A1 cho BA3; TN-A2 cho BA1, BA2</t>
  </si>
  <si>
    <t xml:space="preserve">Huấn luyện P-static, seed 1</t>
  </si>
  <si>
    <t xml:space="preserve">T-A1 đủ 4 hàng</t>
  </si>
  <si>
    <t xml:space="preserve">TN-A4: APM cho BA1–BA3</t>
  </si>
  <si>
    <t xml:space="preserve">TN-A2 cho BA3, P-TACo; bắt đầu TN-A3</t>
  </si>
  <si>
    <t xml:space="preserve">P-static seed 2, 3</t>
  </si>
  <si>
    <t xml:space="preserve">T-A2 cột độ trễ</t>
  </si>
  <si>
    <t xml:space="preserve">TN-A4 cho P-TACo, A1</t>
  </si>
  <si>
    <t xml:space="preserve">TN-A3: 5 × 60 s mỗi cấu hình</t>
  </si>
  <si>
    <t xml:space="preserve">B4: CMA-ES trên HW qua replay (lịch board buổi tối)</t>
  </si>
  <si>
    <t xml:space="preserve">T-A2 cột năng lượng</t>
  </si>
  <si>
    <t xml:space="preserve">TN-A5: đo các điểm DSE đã build</t>
  </si>
  <si>
    <t xml:space="preserve">TN-A3 xong; A1 (tắt zero-copy)</t>
  </si>
  <si>
    <t xml:space="preserve">Khoá tập test D3 (hash); B5 AdaptiveISP trên GPU</t>
  </si>
  <si>
    <t xml:space="preserve">Test D3 khoá</t>
  </si>
  <si>
    <t xml:space="preserve">TN-A5 tiếp</t>
  </si>
  <si>
    <t xml:space="preserve">A3 (N bộ đệm), A7 (ngắt/polling, isolcpus)</t>
  </si>
  <si>
    <t xml:space="preserve">B6: mạng tăng sáng lượng tử, biên dịch DPU</t>
  </si>
  <si>
    <t xml:space="preserve">A5: HP vs HPC</t>
  </si>
  <si>
    <t xml:space="preserve">A4: nhánh hiển thị bật/tắt</t>
  </si>
  <si>
    <t xml:space="preserve">B7: ISP tối thiểu + detector</t>
  </si>
  <si>
    <t xml:space="preserve">T-A4 một nửa</t>
  </si>
  <si>
    <t xml:space="preserve">A6: độ phân giải × mô hình</t>
  </si>
  <si>
    <t xml:space="preserve">Thống kê; make_tables.py sinh T-A1–T-A4</t>
  </si>
  <si>
    <t xml:space="preserve">TN-B2: huấn luyện twin float vs khớp bit</t>
  </si>
  <si>
    <t xml:space="preserve">T-A4 đủ</t>
  </si>
  <si>
    <t xml:space="preserve">T-A3, F-A4 (Pareto)</t>
  </si>
  <si>
    <t xml:space="preserve">F-A2, F-A3, F-A5; viết mục Phương pháp đo</t>
  </si>
  <si>
    <t xml:space="preserve">TN-B2: đo trên HW replay</t>
  </si>
  <si>
    <t xml:space="preserve">Hình bài A đủ</t>
  </si>
  <si>
    <t xml:space="preserve">Viết mục Kiến trúc</t>
  </si>
  <si>
    <t xml:space="preserve">Viết mục Phân tích pipeline, Kết quả</t>
  </si>
  <si>
    <t xml:space="preserve">mAP P-TACo vs BA1 trên D3 (cho phản biện bài A)</t>
  </si>
  <si>
    <t xml:space="preserve">Viết mục DSE (mùa thi)</t>
  </si>
  <si>
    <t xml:space="preserve">Viết Giới thiệu, Liên quan; ghép bản thảo (mùa thi)</t>
  </si>
  <si>
    <t xml:space="preserve">Đọc chéo bản thảo A (mùa thi)</t>
  </si>
  <si>
    <t xml:space="preserve">G3</t>
  </si>
  <si>
    <t xml:space="preserve">Bổ sung số liệu thiếu sau đọc chéo (mùa thi)</t>
  </si>
  <si>
    <t xml:space="preserve">Sửa bản thảo (mùa thi)</t>
  </si>
  <si>
    <t xml:space="preserve">B-A1–B-A6 chạy nền trên GPU</t>
  </si>
  <si>
    <t xml:space="preserve">Gói mã bài A, tag v1.0 (mùa thi)</t>
  </si>
  <si>
    <t xml:space="preserve">Hình cuối, định dạng theo tạp chí (mùa thi)</t>
  </si>
  <si>
    <t xml:space="preserve">B-A1–B-A6 tiếp</t>
  </si>
  <si>
    <t xml:space="preserve">Tag v1.0</t>
  </si>
  <si>
    <t xml:space="preserve">Tái lập từ kho sạch trên board thứ hai / SD mới</t>
  </si>
  <si>
    <t xml:space="preserve">Cover letter, highlights; kiểm ISSN với PL4</t>
  </si>
  <si>
    <t xml:space="preserve">Phân tích B-A1–B-A6</t>
  </si>
  <si>
    <t xml:space="preserve">Đánh giá nội bộ bởi người ngoài nhóm</t>
  </si>
  <si>
    <t xml:space="preserve">Hỗ trợ nộp</t>
  </si>
  <si>
    <t xml:space="preserve">Nộp bài A</t>
  </si>
  <si>
    <t xml:space="preserve">T-B1 sơ bộ (val)</t>
  </si>
  <si>
    <t xml:space="preserve">Nộp A</t>
  </si>
  <si>
    <t xml:space="preserve">Replay D3-test qua ISP HW với tham số P-static → mAP HW</t>
  </si>
  <si>
    <t xml:space="preserve">Khung bộ điều khiển trên A53 (luồng T4, đọc thống kê, ghi thanh ghi)</t>
  </si>
  <si>
    <t xml:space="preserve">Oracle từng khung: tối ưu tham số qua twin trên chuỗi D1</t>
  </si>
  <si>
    <t xml:space="preserve">mAP HW của P-static</t>
  </si>
  <si>
    <t xml:space="preserve">Kiểm tra G4: twin ↔ HW ≤ 0,3 mAP</t>
  </si>
  <si>
    <t xml:space="preserve">Thu D4: 20 chuỗi chuyển sáng (hộp sáng có dimmer)</t>
  </si>
  <si>
    <t xml:space="preserve">Tạo dữ liệu chưng cất (thống kê → tham số oracle)</t>
  </si>
  <si>
    <t xml:space="preserve">20 chuỗi D4</t>
  </si>
  <si>
    <t xml:space="preserve">Kiểm tra tham số chốt đầu khung (không xé hình) bằng mẫu kẻ sọc</t>
  </si>
  <si>
    <t xml:space="preserve">D4 thêm 20 chuỗi; gán nhãn bán tự động</t>
  </si>
  <si>
    <t xml:space="preserve">Huấn luyện bộ điều khiển MLP</t>
  </si>
  <si>
    <t xml:space="preserve">D4 đủ 40 chuỗi</t>
  </si>
  <si>
    <t xml:space="preserve">Tài nguyên và thời gian B6 trên DPU (TN-B4)</t>
  </si>
  <si>
    <t xml:space="preserve">MLP bằng C++ thuần trên A53; đo ms/khung</t>
  </si>
  <si>
    <t xml:space="preserve">Biến thể GRU; B-A7 (đầu vào)</t>
  </si>
  <si>
    <t xml:space="preserve">&lt; 0,5 ms/khung</t>
  </si>
  <si>
    <t xml:space="preserve">Hỗ trợ B-A9 (phơi sáng/gain qua I2C)</t>
  </si>
  <si>
    <t xml:space="preserve">Đo trễ vòng điều khiển đầu-cuối</t>
  </si>
  <si>
    <t xml:space="preserve">TN-B1: mAP theo lux cho mọi baseline</t>
  </si>
  <si>
    <t xml:space="preserve">T-B1 bản đầy đủ</t>
  </si>
  <si>
    <t xml:space="preserve">Rà soát G4</t>
  </si>
  <si>
    <t xml:space="preserve">Quyết định trọng tâm bài B theo G4</t>
  </si>
  <si>
    <t xml:space="preserve">G4</t>
  </si>
  <si>
    <t xml:space="preserve">Trả lời phản biện bài A nếu đã về</t>
  </si>
  <si>
    <t xml:space="preserve">TN-B3: P-static vs P-loop trên D4 replay</t>
  </si>
  <si>
    <t xml:space="preserve">B-A8: chu kỳ cập nhật, làm mượt</t>
  </si>
  <si>
    <t xml:space="preserve">Thí nghiệm bổ sung cho phản biện A</t>
  </si>
  <si>
    <t xml:space="preserve">TN-B3 trực tiếp trên camera (định tính + log)</t>
  </si>
  <si>
    <t xml:space="preserve">B-A10: RL tinh chỉnh (tuỳ chọn, giới hạn 2 tuần)</t>
  </si>
  <si>
    <t xml:space="preserve">TN-B4: năng lượng P-loop; B5 trên A53</t>
  </si>
  <si>
    <t xml:space="preserve">TN-B6: tổng quát hoá trên LOD, PASCALRAW</t>
  </si>
  <si>
    <t xml:space="preserve">B-A9 đo trên HW</t>
  </si>
  <si>
    <t xml:space="preserve">TN-B3 phân tích: thời gian hồi phục, dao động tham số</t>
  </si>
  <si>
    <t xml:space="preserve">TN-B6: đổi detector (SSD-MNv2)</t>
  </si>
  <si>
    <t xml:space="preserve">T-B3 sơ bộ</t>
  </si>
  <si>
    <t xml:space="preserve">Nộp bản sửa bài A (dự kiến)</t>
  </si>
  <si>
    <t xml:space="preserve">TN-B4 xong</t>
  </si>
  <si>
    <t xml:space="preserve">B-A3, B-A4 lặp 3 seed</t>
  </si>
  <si>
    <t xml:space="preserve">T-B4</t>
  </si>
  <si>
    <t xml:space="preserve">F-B1, F-B4 (ảnh định tính từ HW)</t>
  </si>
  <si>
    <t xml:space="preserve">F-B3, F-B5</t>
  </si>
  <si>
    <t xml:space="preserve">T-B5 ablation đủ</t>
  </si>
  <si>
    <t xml:space="preserve">T-B5</t>
  </si>
  <si>
    <t xml:space="preserve">Viết mục ISP phần cứng (bài B)</t>
  </si>
  <si>
    <t xml:space="preserve">Viết mục hệ thống, chi phí (bài B)</t>
  </si>
  <si>
    <t xml:space="preserve">Viết mục twin + huấn luyện</t>
  </si>
  <si>
    <t xml:space="preserve">Kiểm tra tái lập HW-in-loop</t>
  </si>
  <si>
    <t xml:space="preserve">Kiểm tra tái lập TN-B3/B4</t>
  </si>
  <si>
    <t xml:space="preserve">Viết mục bộ điều khiển</t>
  </si>
  <si>
    <t xml:space="preserve">Chuẩn bị phát hành dữ liệu KV-RAW-LUX (định dạng, datasheet)</t>
  </si>
  <si>
    <t xml:space="preserve">Thống kê cuối, CI 95 % cho mọi bảng</t>
  </si>
  <si>
    <t xml:space="preserve">Mở tập test D3 một lần, chạy bảng cuối</t>
  </si>
  <si>
    <t xml:space="preserve">T-B1–T-B5 cuối</t>
  </si>
  <si>
    <t xml:space="preserve">Rà soát G5</t>
  </si>
  <si>
    <t xml:space="preserve">G5</t>
  </si>
  <si>
    <t xml:space="preserve">Viết phụ lục HW (bản đồ thanh ghi, tài nguyên)</t>
  </si>
  <si>
    <t xml:space="preserve">Viết mục Thí nghiệm (phần hệ thống)</t>
  </si>
  <si>
    <t xml:space="preserve">Viết Giới thiệu, Liên quan bài B</t>
  </si>
  <si>
    <t xml:space="preserve">Bản thảo B đủ mục</t>
  </si>
  <si>
    <t xml:space="preserve">Đọc chéo bài B</t>
  </si>
  <si>
    <t xml:space="preserve">Ghép bản thảo, mục Thảo luận</t>
  </si>
  <si>
    <t xml:space="preserve">Bổ sung số liệu HW theo đọc chéo</t>
  </si>
  <si>
    <t xml:space="preserve">Bổ sung số liệu hệ thống</t>
  </si>
  <si>
    <t xml:space="preserve">Sửa bản thảo</t>
  </si>
  <si>
    <t xml:space="preserve">Gói mã bài B (overlay v2.0)</t>
  </si>
  <si>
    <t xml:space="preserve">Kiểm tra tái lập đầu-cuối từ kho sạch</t>
  </si>
  <si>
    <t xml:space="preserve">Hoàn thiện datasheet KV-RAW-LUX</t>
  </si>
  <si>
    <t xml:space="preserve">Tag v2.0</t>
  </si>
  <si>
    <t xml:space="preserve">Cover letter, kiểm ISSN với PL4</t>
  </si>
  <si>
    <t xml:space="preserve">Sửa theo đánh giá nội bộ</t>
  </si>
  <si>
    <t xml:space="preserve">Nộp bài B</t>
  </si>
  <si>
    <t xml:space="preserve">G6 · Nộp B</t>
  </si>
  <si>
    <t xml:space="preserve">Phát hành mã HW công khai (Zenodo DOI)</t>
  </si>
  <si>
    <t xml:space="preserve">Phát hành mã PS + kịch bản đo</t>
  </si>
  <si>
    <t xml:space="preserve">Phát hành dữ liệu (CC BY 4.0)</t>
  </si>
  <si>
    <t xml:space="preserve">DOI</t>
  </si>
  <si>
    <t xml:space="preserve">Báo cáo tổng kết: chương phần cứng</t>
  </si>
  <si>
    <t xml:space="preserve">Báo cáo tổng kết: chương hệ thống</t>
  </si>
  <si>
    <t xml:space="preserve">Báo cáo tổng kết: chương thuật toán</t>
  </si>
  <si>
    <t xml:space="preserve">Báo cáo nháp</t>
  </si>
  <si>
    <t xml:space="preserve">Nghiệm thu, bàn giao board và tài liệu</t>
  </si>
  <si>
    <t xml:space="preserve">Nghiệm thu</t>
  </si>
  <si>
    <t xml:space="preserve">Kết thúc</t>
  </si>
  <si>
    <t xml:space="preserve">Trạng thái</t>
  </si>
  <si>
    <t xml:space="preserve">TV1</t>
  </si>
  <si>
    <t xml:space="preserve">TV2</t>
  </si>
  <si>
    <t xml:space="preserve">TV3</t>
  </si>
  <si>
    <t xml:space="preserve">Cả nhóm</t>
  </si>
  <si>
    <t xml:space="preserve">Chưa bắt đầu</t>
  </si>
  <si>
    <t xml:space="preserve">Đang làm</t>
  </si>
  <si>
    <t xml:space="preserve">Xong</t>
  </si>
  <si>
    <t xml:space="preserve">Trễ</t>
  </si>
  <si>
    <t xml:space="preserve">Bỏ/Chuyển</t>
  </si>
  <si>
    <t xml:space="preserve">Tổng số tuần</t>
  </si>
  <si>
    <t xml:space="preserve">% tuần đã xong</t>
  </si>
  <si>
    <t xml:space="preserve">Công việc của TV1</t>
  </si>
  <si>
    <t xml:space="preserve">Mốc nhóm (cổng / nộp bài)</t>
  </si>
  <si>
    <t xml:space="preserve">Ghi chú</t>
  </si>
  <si>
    <t xml:space="preserve">GĐ1 Nền tảng, baseline, dữ liệu</t>
  </si>
  <si>
    <t xml:space="preserve">GĐ2 ISP + S2T trên PL, twin khớp bit</t>
  </si>
  <si>
    <t xml:space="preserve">GĐ3 Thí nghiệm, nộp bài A</t>
  </si>
  <si>
    <t xml:space="preserve">GĐ4 HW-in-loop, vòng kín</t>
  </si>
  <si>
    <t xml:space="preserve">GĐ5 Viết, nộp bài B, phát hành</t>
  </si>
  <si>
    <t xml:space="preserve">Công việc của TV2</t>
  </si>
  <si>
    <t xml:space="preserve">Công việc của TV3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</si>
</sst>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7A3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A33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5" min="3" style="0" width="44"/>
    <col collapsed="false" customWidth="true" hidden="false" outlineLevel="0" max="6" min="6" style="0" width="28"/>
    <col collapsed="false" customWidth="true" hidden="false" outlineLevel="0" max="9" min="7" style="0" width="12"/>
  </cols>
  <sheetData>
    <row r="1" customFormat="false" ht="30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</row>
    <row r="2" customFormat="false" ht="35.05" hidden="false" customHeight="false" outlineLevel="0" collapsed="false">
      <c r="A2" s="5" t="n">
        <v>1</v>
      </c>
      <c r="B2" s="6" t="n">
        <v>46300</v>
      </c>
      <c r="C2" s="5" t="s">
        <v>25</v>
      </c>
      <c r="D2" s="5" t="s">
        <v>26</v>
      </c>
      <c r="E2" s="5" t="s">
        <v>27</v>
      </c>
      <c r="F2" s="5" t="s">
        <v>28</v>
      </c>
      <c r="G2" s="7" t="str">
        <f aca="false">TV1!F2</f>
        <v>Chưa bắt đầu</v>
      </c>
      <c r="H2" s="7" t="str">
        <f aca="false">TV2!F2</f>
        <v>Chưa bắt đầu</v>
      </c>
      <c r="I2" s="7" t="str">
        <f aca="false">TV3!F2</f>
        <v>Chưa bắt đầu</v>
      </c>
    </row>
    <row r="3" customFormat="false" ht="23.85" hidden="false" customHeight="false" outlineLevel="0" collapsed="false">
      <c r="A3" s="5" t="n">
        <v>2</v>
      </c>
      <c r="B3" s="6" t="n">
        <v>46307</v>
      </c>
      <c r="C3" s="5" t="s">
        <v>29</v>
      </c>
      <c r="D3" s="5" t="s">
        <v>30</v>
      </c>
      <c r="E3" s="5" t="s">
        <v>31</v>
      </c>
      <c r="F3" s="5" t="s">
        <v>32</v>
      </c>
      <c r="G3" s="7" t="str">
        <f aca="false">TV1!F3</f>
        <v>Chưa bắt đầu</v>
      </c>
      <c r="H3" s="7" t="str">
        <f aca="false">TV2!F3</f>
        <v>Chưa bắt đầu</v>
      </c>
      <c r="I3" s="7" t="str">
        <f aca="false">TV3!F3</f>
        <v>Chưa bắt đầu</v>
      </c>
    </row>
    <row r="4" customFormat="false" ht="23.85" hidden="false" customHeight="false" outlineLevel="0" collapsed="false">
      <c r="A4" s="5" t="n">
        <v>3</v>
      </c>
      <c r="B4" s="6" t="n">
        <v>46314</v>
      </c>
      <c r="C4" s="5" t="s">
        <v>33</v>
      </c>
      <c r="D4" s="5" t="s">
        <v>34</v>
      </c>
      <c r="E4" s="5" t="s">
        <v>35</v>
      </c>
      <c r="F4" s="5" t="s">
        <v>36</v>
      </c>
      <c r="G4" s="7" t="str">
        <f aca="false">TV1!F4</f>
        <v>Chưa bắt đầu</v>
      </c>
      <c r="H4" s="7" t="str">
        <f aca="false">TV2!F4</f>
        <v>Chưa bắt đầu</v>
      </c>
      <c r="I4" s="7" t="str">
        <f aca="false">TV3!F4</f>
        <v>Chưa bắt đầu</v>
      </c>
    </row>
    <row r="5" customFormat="false" ht="23.85" hidden="false" customHeight="false" outlineLevel="0" collapsed="false">
      <c r="A5" s="8" t="n">
        <v>4</v>
      </c>
      <c r="B5" s="9" t="n">
        <v>46321</v>
      </c>
      <c r="C5" s="8" t="s">
        <v>37</v>
      </c>
      <c r="D5" s="8" t="s">
        <v>38</v>
      </c>
      <c r="E5" s="8" t="s">
        <v>39</v>
      </c>
      <c r="F5" s="8" t="s">
        <v>40</v>
      </c>
      <c r="G5" s="7" t="str">
        <f aca="false">TV1!F5</f>
        <v>Chưa bắt đầu</v>
      </c>
      <c r="H5" s="7" t="str">
        <f aca="false">TV2!F5</f>
        <v>Chưa bắt đầu</v>
      </c>
      <c r="I5" s="7" t="str">
        <f aca="false">TV3!F5</f>
        <v>Chưa bắt đầu</v>
      </c>
    </row>
    <row r="6" customFormat="false" ht="23.85" hidden="false" customHeight="false" outlineLevel="0" collapsed="false">
      <c r="A6" s="5" t="n">
        <v>5</v>
      </c>
      <c r="B6" s="6" t="n">
        <v>46328</v>
      </c>
      <c r="C6" s="5" t="s">
        <v>41</v>
      </c>
      <c r="D6" s="5" t="s">
        <v>42</v>
      </c>
      <c r="E6" s="5" t="s">
        <v>43</v>
      </c>
      <c r="F6" s="5" t="s">
        <v>44</v>
      </c>
      <c r="G6" s="7" t="str">
        <f aca="false">TV1!F6</f>
        <v>Chưa bắt đầu</v>
      </c>
      <c r="H6" s="7" t="str">
        <f aca="false">TV2!F6</f>
        <v>Chưa bắt đầu</v>
      </c>
      <c r="I6" s="7" t="str">
        <f aca="false">TV3!F6</f>
        <v>Chưa bắt đầu</v>
      </c>
    </row>
    <row r="7" customFormat="false" ht="23.85" hidden="false" customHeight="false" outlineLevel="0" collapsed="false">
      <c r="A7" s="5" t="n">
        <v>6</v>
      </c>
      <c r="B7" s="6" t="n">
        <v>46335</v>
      </c>
      <c r="C7" s="5" t="s">
        <v>45</v>
      </c>
      <c r="D7" s="5" t="s">
        <v>46</v>
      </c>
      <c r="E7" s="5" t="s">
        <v>47</v>
      </c>
      <c r="F7" s="5" t="s">
        <v>48</v>
      </c>
      <c r="G7" s="7" t="str">
        <f aca="false">TV1!F7</f>
        <v>Chưa bắt đầu</v>
      </c>
      <c r="H7" s="7" t="str">
        <f aca="false">TV2!F7</f>
        <v>Chưa bắt đầu</v>
      </c>
      <c r="I7" s="7" t="str">
        <f aca="false">TV3!F7</f>
        <v>Chưa bắt đầu</v>
      </c>
    </row>
    <row r="8" customFormat="false" ht="23.85" hidden="false" customHeight="false" outlineLevel="0" collapsed="false">
      <c r="A8" s="5" t="n">
        <v>7</v>
      </c>
      <c r="B8" s="6" t="n">
        <v>46342</v>
      </c>
      <c r="C8" s="5" t="s">
        <v>49</v>
      </c>
      <c r="D8" s="5" t="s">
        <v>50</v>
      </c>
      <c r="E8" s="5" t="s">
        <v>51</v>
      </c>
      <c r="F8" s="5" t="s">
        <v>52</v>
      </c>
      <c r="G8" s="7" t="str">
        <f aca="false">TV1!F8</f>
        <v>Chưa bắt đầu</v>
      </c>
      <c r="H8" s="7" t="str">
        <f aca="false">TV2!F8</f>
        <v>Chưa bắt đầu</v>
      </c>
      <c r="I8" s="7" t="str">
        <f aca="false">TV3!F8</f>
        <v>Chưa bắt đầu</v>
      </c>
    </row>
    <row r="9" customFormat="false" ht="23.85" hidden="false" customHeight="false" outlineLevel="0" collapsed="false">
      <c r="A9" s="5" t="n">
        <v>8</v>
      </c>
      <c r="B9" s="6" t="n">
        <v>46349</v>
      </c>
      <c r="C9" s="5" t="s">
        <v>53</v>
      </c>
      <c r="D9" s="5" t="s">
        <v>54</v>
      </c>
      <c r="E9" s="5" t="s">
        <v>55</v>
      </c>
      <c r="F9" s="5" t="s">
        <v>56</v>
      </c>
      <c r="G9" s="7" t="str">
        <f aca="false">TV1!F9</f>
        <v>Chưa bắt đầu</v>
      </c>
      <c r="H9" s="7" t="str">
        <f aca="false">TV2!F9</f>
        <v>Chưa bắt đầu</v>
      </c>
      <c r="I9" s="7" t="str">
        <f aca="false">TV3!F9</f>
        <v>Chưa bắt đầu</v>
      </c>
    </row>
    <row r="10" customFormat="false" ht="23.85" hidden="false" customHeight="false" outlineLevel="0" collapsed="false">
      <c r="A10" s="5" t="n">
        <v>9</v>
      </c>
      <c r="B10" s="6" t="n">
        <v>46356</v>
      </c>
      <c r="C10" s="5" t="s">
        <v>57</v>
      </c>
      <c r="D10" s="5" t="s">
        <v>58</v>
      </c>
      <c r="E10" s="5" t="s">
        <v>59</v>
      </c>
      <c r="F10" s="5" t="s">
        <v>60</v>
      </c>
      <c r="G10" s="7" t="str">
        <f aca="false">TV1!F10</f>
        <v>Chưa bắt đầu</v>
      </c>
      <c r="H10" s="7" t="str">
        <f aca="false">TV2!F10</f>
        <v>Chưa bắt đầu</v>
      </c>
      <c r="I10" s="7" t="str">
        <f aca="false">TV3!F10</f>
        <v>Chưa bắt đầu</v>
      </c>
    </row>
    <row r="11" customFormat="false" ht="23.85" hidden="false" customHeight="false" outlineLevel="0" collapsed="false">
      <c r="A11" s="5" t="n">
        <v>10</v>
      </c>
      <c r="B11" s="6" t="n">
        <v>46363</v>
      </c>
      <c r="C11" s="5" t="s">
        <v>61</v>
      </c>
      <c r="D11" s="5" t="s">
        <v>62</v>
      </c>
      <c r="E11" s="5" t="s">
        <v>63</v>
      </c>
      <c r="F11" s="5" t="s">
        <v>64</v>
      </c>
      <c r="G11" s="7" t="str">
        <f aca="false">TV1!F11</f>
        <v>Chưa bắt đầu</v>
      </c>
      <c r="H11" s="7" t="str">
        <f aca="false">TV2!F11</f>
        <v>Chưa bắt đầu</v>
      </c>
      <c r="I11" s="7" t="str">
        <f aca="false">TV3!F11</f>
        <v>Chưa bắt đầu</v>
      </c>
    </row>
    <row r="12" customFormat="false" ht="15" hidden="false" customHeight="false" outlineLevel="0" collapsed="false">
      <c r="A12" s="5" t="n">
        <v>11</v>
      </c>
      <c r="B12" s="6" t="n">
        <v>46370</v>
      </c>
      <c r="C12" s="5" t="s">
        <v>65</v>
      </c>
      <c r="D12" s="5" t="s">
        <v>66</v>
      </c>
      <c r="E12" s="5" t="s">
        <v>67</v>
      </c>
      <c r="F12" s="5" t="s">
        <v>68</v>
      </c>
      <c r="G12" s="7" t="str">
        <f aca="false">TV1!F12</f>
        <v>Chưa bắt đầu</v>
      </c>
      <c r="H12" s="7" t="str">
        <f aca="false">TV2!F12</f>
        <v>Chưa bắt đầu</v>
      </c>
      <c r="I12" s="7" t="str">
        <f aca="false">TV3!F12</f>
        <v>Chưa bắt đầu</v>
      </c>
    </row>
    <row r="13" customFormat="false" ht="15" hidden="false" customHeight="false" outlineLevel="0" collapsed="false">
      <c r="A13" s="5" t="n">
        <v>12</v>
      </c>
      <c r="B13" s="6" t="n">
        <v>46377</v>
      </c>
      <c r="C13" s="5" t="s">
        <v>69</v>
      </c>
      <c r="D13" s="5" t="s">
        <v>70</v>
      </c>
      <c r="E13" s="5" t="s">
        <v>71</v>
      </c>
      <c r="F13" s="5" t="s">
        <v>72</v>
      </c>
      <c r="G13" s="7" t="str">
        <f aca="false">TV1!F13</f>
        <v>Chưa bắt đầu</v>
      </c>
      <c r="H13" s="7" t="str">
        <f aca="false">TV2!F13</f>
        <v>Chưa bắt đầu</v>
      </c>
      <c r="I13" s="7" t="str">
        <f aca="false">TV3!F13</f>
        <v>Chưa bắt đầu</v>
      </c>
    </row>
    <row r="14" customFormat="false" ht="23.85" hidden="false" customHeight="false" outlineLevel="0" collapsed="false">
      <c r="A14" s="5" t="n">
        <v>13</v>
      </c>
      <c r="B14" s="6" t="n">
        <v>46384</v>
      </c>
      <c r="C14" s="5" t="s">
        <v>73</v>
      </c>
      <c r="D14" s="5" t="s">
        <v>74</v>
      </c>
      <c r="E14" s="5" t="s">
        <v>75</v>
      </c>
      <c r="F14" s="5" t="s">
        <v>76</v>
      </c>
      <c r="G14" s="7" t="str">
        <f aca="false">TV1!F14</f>
        <v>Chưa bắt đầu</v>
      </c>
      <c r="H14" s="7" t="str">
        <f aca="false">TV2!F14</f>
        <v>Chưa bắt đầu</v>
      </c>
      <c r="I14" s="7" t="str">
        <f aca="false">TV3!F14</f>
        <v>Chưa bắt đầu</v>
      </c>
    </row>
    <row r="15" customFormat="false" ht="15" hidden="false" customHeight="false" outlineLevel="0" collapsed="false">
      <c r="A15" s="8" t="n">
        <v>14</v>
      </c>
      <c r="B15" s="9" t="n">
        <v>46391</v>
      </c>
      <c r="C15" s="8" t="s">
        <v>77</v>
      </c>
      <c r="D15" s="8" t="s">
        <v>78</v>
      </c>
      <c r="E15" s="8" t="s">
        <v>79</v>
      </c>
      <c r="F15" s="8" t="s">
        <v>80</v>
      </c>
      <c r="G15" s="7" t="str">
        <f aca="false">TV1!F15</f>
        <v>Chưa bắt đầu</v>
      </c>
      <c r="H15" s="7" t="str">
        <f aca="false">TV2!F15</f>
        <v>Chưa bắt đầu</v>
      </c>
      <c r="I15" s="7" t="str">
        <f aca="false">TV3!F15</f>
        <v>Chưa bắt đầu</v>
      </c>
    </row>
    <row r="16" customFormat="false" ht="23.85" hidden="false" customHeight="false" outlineLevel="0" collapsed="false">
      <c r="A16" s="5" t="n">
        <v>15</v>
      </c>
      <c r="B16" s="6" t="n">
        <v>46398</v>
      </c>
      <c r="C16" s="5" t="s">
        <v>81</v>
      </c>
      <c r="D16" s="5" t="s">
        <v>82</v>
      </c>
      <c r="E16" s="5" t="s">
        <v>83</v>
      </c>
      <c r="F16" s="5" t="s">
        <v>84</v>
      </c>
      <c r="G16" s="7" t="str">
        <f aca="false">TV1!F16</f>
        <v>Chưa bắt đầu</v>
      </c>
      <c r="H16" s="7" t="str">
        <f aca="false">TV2!F16</f>
        <v>Chưa bắt đầu</v>
      </c>
      <c r="I16" s="7" t="str">
        <f aca="false">TV3!F16</f>
        <v>Chưa bắt đầu</v>
      </c>
    </row>
    <row r="17" customFormat="false" ht="23.85" hidden="false" customHeight="false" outlineLevel="0" collapsed="false">
      <c r="A17" s="5" t="n">
        <v>16</v>
      </c>
      <c r="B17" s="6" t="n">
        <v>46405</v>
      </c>
      <c r="C17" s="5" t="s">
        <v>85</v>
      </c>
      <c r="D17" s="5" t="s">
        <v>86</v>
      </c>
      <c r="E17" s="5" t="s">
        <v>87</v>
      </c>
      <c r="F17" s="5" t="s">
        <v>88</v>
      </c>
      <c r="G17" s="7" t="str">
        <f aca="false">TV1!F17</f>
        <v>Chưa bắt đầu</v>
      </c>
      <c r="H17" s="7" t="str">
        <f aca="false">TV2!F17</f>
        <v>Chưa bắt đầu</v>
      </c>
      <c r="I17" s="7" t="str">
        <f aca="false">TV3!F17</f>
        <v>Chưa bắt đầu</v>
      </c>
    </row>
    <row r="18" customFormat="false" ht="23.85" hidden="false" customHeight="false" outlineLevel="0" collapsed="false">
      <c r="A18" s="5" t="n">
        <v>17</v>
      </c>
      <c r="B18" s="6" t="n">
        <v>46412</v>
      </c>
      <c r="C18" s="5" t="s">
        <v>89</v>
      </c>
      <c r="D18" s="5" t="s">
        <v>90</v>
      </c>
      <c r="E18" s="5" t="s">
        <v>91</v>
      </c>
      <c r="F18" s="5" t="s">
        <v>92</v>
      </c>
      <c r="G18" s="7" t="str">
        <f aca="false">TV1!F18</f>
        <v>Chưa bắt đầu</v>
      </c>
      <c r="H18" s="7" t="str">
        <f aca="false">TV2!F18</f>
        <v>Chưa bắt đầu</v>
      </c>
      <c r="I18" s="7" t="str">
        <f aca="false">TV3!F18</f>
        <v>Chưa bắt đầu</v>
      </c>
    </row>
    <row r="19" customFormat="false" ht="23.85" hidden="false" customHeight="false" outlineLevel="0" collapsed="false">
      <c r="A19" s="5" t="n">
        <v>18</v>
      </c>
      <c r="B19" s="6" t="n">
        <v>46419</v>
      </c>
      <c r="C19" s="5" t="s">
        <v>93</v>
      </c>
      <c r="D19" s="5" t="s">
        <v>94</v>
      </c>
      <c r="E19" s="5" t="s">
        <v>95</v>
      </c>
      <c r="F19" s="5" t="s">
        <v>96</v>
      </c>
      <c r="G19" s="7" t="str">
        <f aca="false">TV1!F19</f>
        <v>Chưa bắt đầu</v>
      </c>
      <c r="H19" s="7" t="str">
        <f aca="false">TV2!F19</f>
        <v>Chưa bắt đầu</v>
      </c>
      <c r="I19" s="7" t="str">
        <f aca="false">TV3!F19</f>
        <v>Chưa bắt đầu</v>
      </c>
    </row>
    <row r="20" customFormat="false" ht="15" hidden="false" customHeight="false" outlineLevel="0" collapsed="false">
      <c r="A20" s="5" t="n">
        <v>19</v>
      </c>
      <c r="B20" s="6" t="n">
        <v>46426</v>
      </c>
      <c r="C20" s="5" t="s">
        <v>97</v>
      </c>
      <c r="D20" s="5" t="s">
        <v>97</v>
      </c>
      <c r="E20" s="5" t="s">
        <v>97</v>
      </c>
      <c r="F20" s="5" t="s">
        <v>98</v>
      </c>
      <c r="G20" s="7" t="str">
        <f aca="false">TV1!F20</f>
        <v>Chưa bắt đầu</v>
      </c>
      <c r="H20" s="7" t="str">
        <f aca="false">TV2!F20</f>
        <v>Chưa bắt đầu</v>
      </c>
      <c r="I20" s="7" t="str">
        <f aca="false">TV3!F20</f>
        <v>Chưa bắt đầu</v>
      </c>
    </row>
    <row r="21" customFormat="false" ht="23.85" hidden="false" customHeight="false" outlineLevel="0" collapsed="false">
      <c r="A21" s="5" t="n">
        <v>20</v>
      </c>
      <c r="B21" s="6" t="n">
        <v>46433</v>
      </c>
      <c r="C21" s="5" t="s">
        <v>99</v>
      </c>
      <c r="D21" s="5" t="s">
        <v>100</v>
      </c>
      <c r="E21" s="5" t="s">
        <v>101</v>
      </c>
      <c r="F21" s="5" t="s">
        <v>102</v>
      </c>
      <c r="G21" s="7" t="str">
        <f aca="false">TV1!F21</f>
        <v>Chưa bắt đầu</v>
      </c>
      <c r="H21" s="7" t="str">
        <f aca="false">TV2!F21</f>
        <v>Chưa bắt đầu</v>
      </c>
      <c r="I21" s="7" t="str">
        <f aca="false">TV3!F21</f>
        <v>Chưa bắt đầu</v>
      </c>
    </row>
    <row r="22" customFormat="false" ht="15" hidden="false" customHeight="false" outlineLevel="0" collapsed="false">
      <c r="A22" s="5" t="n">
        <v>21</v>
      </c>
      <c r="B22" s="6" t="n">
        <v>46440</v>
      </c>
      <c r="C22" s="5" t="s">
        <v>103</v>
      </c>
      <c r="D22" s="5" t="s">
        <v>104</v>
      </c>
      <c r="E22" s="5" t="s">
        <v>105</v>
      </c>
      <c r="F22" s="5" t="s">
        <v>106</v>
      </c>
      <c r="G22" s="7" t="str">
        <f aca="false">TV1!F22</f>
        <v>Chưa bắt đầu</v>
      </c>
      <c r="H22" s="7" t="str">
        <f aca="false">TV2!F22</f>
        <v>Chưa bắt đầu</v>
      </c>
      <c r="I22" s="7" t="str">
        <f aca="false">TV3!F22</f>
        <v>Chưa bắt đầu</v>
      </c>
    </row>
    <row r="23" customFormat="false" ht="23.85" hidden="false" customHeight="false" outlineLevel="0" collapsed="false">
      <c r="A23" s="5" t="n">
        <v>22</v>
      </c>
      <c r="B23" s="6" t="n">
        <v>46447</v>
      </c>
      <c r="C23" s="5" t="s">
        <v>107</v>
      </c>
      <c r="D23" s="5" t="s">
        <v>108</v>
      </c>
      <c r="E23" s="5" t="s">
        <v>109</v>
      </c>
      <c r="F23" s="5" t="s">
        <v>110</v>
      </c>
      <c r="G23" s="7" t="str">
        <f aca="false">TV1!F23</f>
        <v>Chưa bắt đầu</v>
      </c>
      <c r="H23" s="7" t="str">
        <f aca="false">TV2!F23</f>
        <v>Chưa bắt đầu</v>
      </c>
      <c r="I23" s="7" t="str">
        <f aca="false">TV3!F23</f>
        <v>Chưa bắt đầu</v>
      </c>
    </row>
    <row r="24" customFormat="false" ht="23.85" hidden="false" customHeight="false" outlineLevel="0" collapsed="false">
      <c r="A24" s="5" t="n">
        <v>23</v>
      </c>
      <c r="B24" s="6" t="n">
        <v>46454</v>
      </c>
      <c r="C24" s="5" t="s">
        <v>111</v>
      </c>
      <c r="D24" s="5" t="s">
        <v>112</v>
      </c>
      <c r="E24" s="5" t="s">
        <v>113</v>
      </c>
      <c r="F24" s="5" t="s">
        <v>114</v>
      </c>
      <c r="G24" s="7" t="str">
        <f aca="false">TV1!F24</f>
        <v>Chưa bắt đầu</v>
      </c>
      <c r="H24" s="7" t="str">
        <f aca="false">TV2!F24</f>
        <v>Chưa bắt đầu</v>
      </c>
      <c r="I24" s="7" t="str">
        <f aca="false">TV3!F24</f>
        <v>Chưa bắt đầu</v>
      </c>
    </row>
    <row r="25" customFormat="false" ht="15" hidden="false" customHeight="false" outlineLevel="0" collapsed="false">
      <c r="A25" s="5" t="n">
        <v>24</v>
      </c>
      <c r="B25" s="6" t="n">
        <v>46461</v>
      </c>
      <c r="C25" s="5" t="s">
        <v>115</v>
      </c>
      <c r="D25" s="5" t="s">
        <v>116</v>
      </c>
      <c r="E25" s="5" t="s">
        <v>117</v>
      </c>
      <c r="F25" s="5" t="s">
        <v>118</v>
      </c>
      <c r="G25" s="7" t="str">
        <f aca="false">TV1!F25</f>
        <v>Chưa bắt đầu</v>
      </c>
      <c r="H25" s="7" t="str">
        <f aca="false">TV2!F25</f>
        <v>Chưa bắt đầu</v>
      </c>
      <c r="I25" s="7" t="str">
        <f aca="false">TV3!F25</f>
        <v>Chưa bắt đầu</v>
      </c>
    </row>
    <row r="26" customFormat="false" ht="15" hidden="false" customHeight="false" outlineLevel="0" collapsed="false">
      <c r="A26" s="5" t="n">
        <v>25</v>
      </c>
      <c r="B26" s="6" t="n">
        <v>46468</v>
      </c>
      <c r="C26" s="5" t="s">
        <v>119</v>
      </c>
      <c r="D26" s="5" t="s">
        <v>120</v>
      </c>
      <c r="E26" s="5" t="s">
        <v>121</v>
      </c>
      <c r="F26" s="5" t="s">
        <v>122</v>
      </c>
      <c r="G26" s="7" t="str">
        <f aca="false">TV1!F26</f>
        <v>Chưa bắt đầu</v>
      </c>
      <c r="H26" s="7" t="str">
        <f aca="false">TV2!F26</f>
        <v>Chưa bắt đầu</v>
      </c>
      <c r="I26" s="7" t="str">
        <f aca="false">TV3!F26</f>
        <v>Chưa bắt đầu</v>
      </c>
    </row>
    <row r="27" customFormat="false" ht="15" hidden="false" customHeight="false" outlineLevel="0" collapsed="false">
      <c r="A27" s="8" t="n">
        <v>26</v>
      </c>
      <c r="B27" s="9" t="n">
        <v>46475</v>
      </c>
      <c r="C27" s="8" t="s">
        <v>123</v>
      </c>
      <c r="D27" s="8" t="s">
        <v>124</v>
      </c>
      <c r="E27" s="8" t="s">
        <v>125</v>
      </c>
      <c r="F27" s="8" t="s">
        <v>126</v>
      </c>
      <c r="G27" s="7" t="str">
        <f aca="false">TV1!F27</f>
        <v>Chưa bắt đầu</v>
      </c>
      <c r="H27" s="7" t="str">
        <f aca="false">TV2!F27</f>
        <v>Chưa bắt đầu</v>
      </c>
      <c r="I27" s="7" t="str">
        <f aca="false">TV3!F27</f>
        <v>Chưa bắt đầu</v>
      </c>
    </row>
    <row r="28" customFormat="false" ht="15" hidden="false" customHeight="false" outlineLevel="0" collapsed="false">
      <c r="A28" s="5" t="n">
        <v>27</v>
      </c>
      <c r="B28" s="6" t="n">
        <v>46482</v>
      </c>
      <c r="C28" s="5" t="s">
        <v>127</v>
      </c>
      <c r="D28" s="5" t="s">
        <v>128</v>
      </c>
      <c r="E28" s="5" t="s">
        <v>129</v>
      </c>
      <c r="F28" s="5" t="s">
        <v>130</v>
      </c>
      <c r="G28" s="7" t="str">
        <f aca="false">TV1!F28</f>
        <v>Chưa bắt đầu</v>
      </c>
      <c r="H28" s="7" t="str">
        <f aca="false">TV2!F28</f>
        <v>Chưa bắt đầu</v>
      </c>
      <c r="I28" s="7" t="str">
        <f aca="false">TV3!F28</f>
        <v>Chưa bắt đầu</v>
      </c>
    </row>
    <row r="29" customFormat="false" ht="15" hidden="false" customHeight="false" outlineLevel="0" collapsed="false">
      <c r="A29" s="5" t="n">
        <v>28</v>
      </c>
      <c r="B29" s="6" t="n">
        <v>46489</v>
      </c>
      <c r="C29" s="5" t="s">
        <v>131</v>
      </c>
      <c r="D29" s="5" t="s">
        <v>132</v>
      </c>
      <c r="E29" s="5" t="s">
        <v>133</v>
      </c>
      <c r="F29" s="5" t="s">
        <v>134</v>
      </c>
      <c r="G29" s="7" t="str">
        <f aca="false">TV1!F29</f>
        <v>Chưa bắt đầu</v>
      </c>
      <c r="H29" s="7" t="str">
        <f aca="false">TV2!F29</f>
        <v>Chưa bắt đầu</v>
      </c>
      <c r="I29" s="7" t="str">
        <f aca="false">TV3!F29</f>
        <v>Chưa bắt đầu</v>
      </c>
    </row>
    <row r="30" customFormat="false" ht="15" hidden="false" customHeight="false" outlineLevel="0" collapsed="false">
      <c r="A30" s="5" t="n">
        <v>29</v>
      </c>
      <c r="B30" s="6" t="n">
        <v>46496</v>
      </c>
      <c r="C30" s="5" t="s">
        <v>135</v>
      </c>
      <c r="D30" s="5" t="s">
        <v>136</v>
      </c>
      <c r="E30" s="5" t="s">
        <v>137</v>
      </c>
      <c r="F30" s="5" t="s">
        <v>138</v>
      </c>
      <c r="G30" s="7" t="str">
        <f aca="false">TV1!F30</f>
        <v>Chưa bắt đầu</v>
      </c>
      <c r="H30" s="7" t="str">
        <f aca="false">TV2!F30</f>
        <v>Chưa bắt đầu</v>
      </c>
      <c r="I30" s="7" t="str">
        <f aca="false">TV3!F30</f>
        <v>Chưa bắt đầu</v>
      </c>
    </row>
    <row r="31" customFormat="false" ht="15" hidden="false" customHeight="false" outlineLevel="0" collapsed="false">
      <c r="A31" s="5" t="n">
        <v>30</v>
      </c>
      <c r="B31" s="6" t="n">
        <v>46503</v>
      </c>
      <c r="C31" s="5" t="s">
        <v>139</v>
      </c>
      <c r="D31" s="5" t="s">
        <v>140</v>
      </c>
      <c r="E31" s="5" t="s">
        <v>141</v>
      </c>
      <c r="F31" s="5" t="s">
        <v>142</v>
      </c>
      <c r="G31" s="7" t="str">
        <f aca="false">TV1!F31</f>
        <v>Chưa bắt đầu</v>
      </c>
      <c r="H31" s="7" t="str">
        <f aca="false">TV2!F31</f>
        <v>Chưa bắt đầu</v>
      </c>
      <c r="I31" s="7" t="str">
        <f aca="false">TV3!F31</f>
        <v>Chưa bắt đầu</v>
      </c>
    </row>
    <row r="32" customFormat="false" ht="15" hidden="false" customHeight="false" outlineLevel="0" collapsed="false">
      <c r="A32" s="5" t="n">
        <v>31</v>
      </c>
      <c r="B32" s="6" t="n">
        <v>46510</v>
      </c>
      <c r="C32" s="5" t="s">
        <v>143</v>
      </c>
      <c r="D32" s="5" t="s">
        <v>144</v>
      </c>
      <c r="E32" s="5" t="s">
        <v>145</v>
      </c>
      <c r="F32" s="5" t="s">
        <v>98</v>
      </c>
      <c r="G32" s="7" t="str">
        <f aca="false">TV1!F32</f>
        <v>Chưa bắt đầu</v>
      </c>
      <c r="H32" s="7" t="str">
        <f aca="false">TV2!F32</f>
        <v>Chưa bắt đầu</v>
      </c>
      <c r="I32" s="7" t="str">
        <f aca="false">TV3!F32</f>
        <v>Chưa bắt đầu</v>
      </c>
    </row>
    <row r="33" customFormat="false" ht="15" hidden="false" customHeight="false" outlineLevel="0" collapsed="false">
      <c r="A33" s="5" t="n">
        <v>32</v>
      </c>
      <c r="B33" s="6" t="n">
        <v>46517</v>
      </c>
      <c r="C33" s="5" t="s">
        <v>146</v>
      </c>
      <c r="D33" s="5" t="s">
        <v>147</v>
      </c>
      <c r="E33" s="5" t="s">
        <v>148</v>
      </c>
      <c r="F33" s="5" t="s">
        <v>149</v>
      </c>
      <c r="G33" s="7" t="str">
        <f aca="false">TV1!F33</f>
        <v>Chưa bắt đầu</v>
      </c>
      <c r="H33" s="7" t="str">
        <f aca="false">TV2!F33</f>
        <v>Chưa bắt đầu</v>
      </c>
      <c r="I33" s="7" t="str">
        <f aca="false">TV3!F33</f>
        <v>Chưa bắt đầu</v>
      </c>
    </row>
    <row r="34" customFormat="false" ht="15" hidden="false" customHeight="false" outlineLevel="0" collapsed="false">
      <c r="A34" s="5" t="n">
        <v>33</v>
      </c>
      <c r="B34" s="6" t="n">
        <v>46524</v>
      </c>
      <c r="C34" s="5" t="s">
        <v>150</v>
      </c>
      <c r="D34" s="5" t="s">
        <v>151</v>
      </c>
      <c r="E34" s="5" t="s">
        <v>152</v>
      </c>
      <c r="F34" s="5" t="s">
        <v>153</v>
      </c>
      <c r="G34" s="7" t="str">
        <f aca="false">TV1!F34</f>
        <v>Chưa bắt đầu</v>
      </c>
      <c r="H34" s="7" t="str">
        <f aca="false">TV2!F34</f>
        <v>Chưa bắt đầu</v>
      </c>
      <c r="I34" s="7" t="str">
        <f aca="false">TV3!F34</f>
        <v>Chưa bắt đầu</v>
      </c>
    </row>
    <row r="35" customFormat="false" ht="15" hidden="false" customHeight="false" outlineLevel="0" collapsed="false">
      <c r="A35" s="5" t="n">
        <v>34</v>
      </c>
      <c r="B35" s="6" t="n">
        <v>46531</v>
      </c>
      <c r="C35" s="5" t="s">
        <v>154</v>
      </c>
      <c r="D35" s="5" t="s">
        <v>155</v>
      </c>
      <c r="E35" s="5" t="s">
        <v>156</v>
      </c>
      <c r="F35" s="5" t="s">
        <v>157</v>
      </c>
      <c r="G35" s="7" t="str">
        <f aca="false">TV1!F35</f>
        <v>Chưa bắt đầu</v>
      </c>
      <c r="H35" s="7" t="str">
        <f aca="false">TV2!F35</f>
        <v>Chưa bắt đầu</v>
      </c>
      <c r="I35" s="7" t="str">
        <f aca="false">TV3!F35</f>
        <v>Chưa bắt đầu</v>
      </c>
    </row>
    <row r="36" customFormat="false" ht="15" hidden="false" customHeight="false" outlineLevel="0" collapsed="false">
      <c r="A36" s="5" t="n">
        <v>35</v>
      </c>
      <c r="B36" s="6" t="n">
        <v>46538</v>
      </c>
      <c r="C36" s="5" t="s">
        <v>158</v>
      </c>
      <c r="D36" s="5" t="s">
        <v>159</v>
      </c>
      <c r="E36" s="5" t="s">
        <v>160</v>
      </c>
      <c r="F36" s="5" t="s">
        <v>98</v>
      </c>
      <c r="G36" s="7" t="str">
        <f aca="false">TV1!F36</f>
        <v>Chưa bắt đầu</v>
      </c>
      <c r="H36" s="7" t="str">
        <f aca="false">TV2!F36</f>
        <v>Chưa bắt đầu</v>
      </c>
      <c r="I36" s="7" t="str">
        <f aca="false">TV3!F36</f>
        <v>Chưa bắt đầu</v>
      </c>
    </row>
    <row r="37" customFormat="false" ht="15" hidden="false" customHeight="false" outlineLevel="0" collapsed="false">
      <c r="A37" s="8" t="n">
        <v>36</v>
      </c>
      <c r="B37" s="9" t="n">
        <v>46545</v>
      </c>
      <c r="C37" s="8" t="s">
        <v>161</v>
      </c>
      <c r="D37" s="8" t="s">
        <v>162</v>
      </c>
      <c r="E37" s="8" t="s">
        <v>163</v>
      </c>
      <c r="F37" s="8" t="s">
        <v>164</v>
      </c>
      <c r="G37" s="7" t="str">
        <f aca="false">TV1!F37</f>
        <v>Chưa bắt đầu</v>
      </c>
      <c r="H37" s="7" t="str">
        <f aca="false">TV2!F37</f>
        <v>Chưa bắt đầu</v>
      </c>
      <c r="I37" s="7" t="str">
        <f aca="false">TV3!F37</f>
        <v>Chưa bắt đầu</v>
      </c>
    </row>
    <row r="38" customFormat="false" ht="15" hidden="false" customHeight="false" outlineLevel="0" collapsed="false">
      <c r="A38" s="5" t="n">
        <v>37</v>
      </c>
      <c r="B38" s="6" t="n">
        <v>46552</v>
      </c>
      <c r="C38" s="5" t="s">
        <v>165</v>
      </c>
      <c r="D38" s="5" t="s">
        <v>166</v>
      </c>
      <c r="E38" s="5" t="s">
        <v>167</v>
      </c>
      <c r="F38" s="5" t="s">
        <v>98</v>
      </c>
      <c r="G38" s="7" t="str">
        <f aca="false">TV1!F38</f>
        <v>Chưa bắt đầu</v>
      </c>
      <c r="H38" s="7" t="str">
        <f aca="false">TV2!F38</f>
        <v>Chưa bắt đầu</v>
      </c>
      <c r="I38" s="7" t="str">
        <f aca="false">TV3!F38</f>
        <v>Chưa bắt đầu</v>
      </c>
    </row>
    <row r="39" customFormat="false" ht="15" hidden="false" customHeight="false" outlineLevel="0" collapsed="false">
      <c r="A39" s="5" t="n">
        <v>38</v>
      </c>
      <c r="B39" s="6" t="n">
        <v>46559</v>
      </c>
      <c r="C39" s="5" t="s">
        <v>168</v>
      </c>
      <c r="D39" s="5" t="s">
        <v>169</v>
      </c>
      <c r="E39" s="5" t="s">
        <v>170</v>
      </c>
      <c r="F39" s="5" t="s">
        <v>171</v>
      </c>
      <c r="G39" s="7" t="str">
        <f aca="false">TV1!F39</f>
        <v>Chưa bắt đầu</v>
      </c>
      <c r="H39" s="7" t="str">
        <f aca="false">TV2!F39</f>
        <v>Chưa bắt đầu</v>
      </c>
      <c r="I39" s="7" t="str">
        <f aca="false">TV3!F39</f>
        <v>Chưa bắt đầu</v>
      </c>
    </row>
    <row r="40" customFormat="false" ht="23.85" hidden="false" customHeight="false" outlineLevel="0" collapsed="false">
      <c r="A40" s="5" t="n">
        <v>39</v>
      </c>
      <c r="B40" s="6" t="n">
        <v>46566</v>
      </c>
      <c r="C40" s="5" t="s">
        <v>172</v>
      </c>
      <c r="D40" s="5" t="s">
        <v>173</v>
      </c>
      <c r="E40" s="5" t="s">
        <v>174</v>
      </c>
      <c r="F40" s="5" t="s">
        <v>175</v>
      </c>
      <c r="G40" s="7" t="str">
        <f aca="false">TV1!F40</f>
        <v>Chưa bắt đầu</v>
      </c>
      <c r="H40" s="7" t="str">
        <f aca="false">TV2!F40</f>
        <v>Chưa bắt đầu</v>
      </c>
      <c r="I40" s="7" t="str">
        <f aca="false">TV3!F40</f>
        <v>Chưa bắt đầu</v>
      </c>
    </row>
    <row r="41" customFormat="false" ht="15" hidden="false" customHeight="false" outlineLevel="0" collapsed="false">
      <c r="A41" s="8" t="n">
        <v>40</v>
      </c>
      <c r="B41" s="9" t="n">
        <v>46573</v>
      </c>
      <c r="C41" s="8" t="s">
        <v>176</v>
      </c>
      <c r="D41" s="8" t="s">
        <v>177</v>
      </c>
      <c r="E41" s="8" t="s">
        <v>178</v>
      </c>
      <c r="F41" s="8" t="s">
        <v>179</v>
      </c>
      <c r="G41" s="7" t="str">
        <f aca="false">TV1!F41</f>
        <v>Chưa bắt đầu</v>
      </c>
      <c r="H41" s="7" t="str">
        <f aca="false">TV2!F41</f>
        <v>Chưa bắt đầu</v>
      </c>
      <c r="I41" s="7" t="str">
        <f aca="false">TV3!F41</f>
        <v>Chưa bắt đầu</v>
      </c>
    </row>
    <row r="42" customFormat="false" ht="23.85" hidden="false" customHeight="false" outlineLevel="0" collapsed="false">
      <c r="A42" s="5" t="n">
        <v>41</v>
      </c>
      <c r="B42" s="6" t="n">
        <v>46580</v>
      </c>
      <c r="C42" s="5" t="s">
        <v>180</v>
      </c>
      <c r="D42" s="5" t="s">
        <v>181</v>
      </c>
      <c r="E42" s="5" t="s">
        <v>182</v>
      </c>
      <c r="F42" s="5" t="s">
        <v>183</v>
      </c>
      <c r="G42" s="7" t="str">
        <f aca="false">TV1!F42</f>
        <v>Chưa bắt đầu</v>
      </c>
      <c r="H42" s="7" t="str">
        <f aca="false">TV2!F42</f>
        <v>Chưa bắt đầu</v>
      </c>
      <c r="I42" s="7" t="str">
        <f aca="false">TV3!F42</f>
        <v>Chưa bắt đầu</v>
      </c>
    </row>
    <row r="43" customFormat="false" ht="15" hidden="false" customHeight="false" outlineLevel="0" collapsed="false">
      <c r="A43" s="5" t="n">
        <v>42</v>
      </c>
      <c r="B43" s="6" t="n">
        <v>46587</v>
      </c>
      <c r="C43" s="5" t="s">
        <v>184</v>
      </c>
      <c r="D43" s="5" t="s">
        <v>185</v>
      </c>
      <c r="E43" s="5" t="s">
        <v>186</v>
      </c>
      <c r="F43" s="5" t="s">
        <v>187</v>
      </c>
      <c r="G43" s="7" t="str">
        <f aca="false">TV1!F43</f>
        <v>Chưa bắt đầu</v>
      </c>
      <c r="H43" s="7" t="str">
        <f aca="false">TV2!F43</f>
        <v>Chưa bắt đầu</v>
      </c>
      <c r="I43" s="7" t="str">
        <f aca="false">TV3!F43</f>
        <v>Chưa bắt đầu</v>
      </c>
    </row>
    <row r="44" customFormat="false" ht="23.85" hidden="false" customHeight="false" outlineLevel="0" collapsed="false">
      <c r="A44" s="5" t="n">
        <v>43</v>
      </c>
      <c r="B44" s="6" t="n">
        <v>46594</v>
      </c>
      <c r="C44" s="5" t="s">
        <v>188</v>
      </c>
      <c r="D44" s="5" t="s">
        <v>189</v>
      </c>
      <c r="E44" s="5" t="s">
        <v>190</v>
      </c>
      <c r="F44" s="5" t="s">
        <v>191</v>
      </c>
      <c r="G44" s="7" t="str">
        <f aca="false">TV1!F44</f>
        <v>Chưa bắt đầu</v>
      </c>
      <c r="H44" s="7" t="str">
        <f aca="false">TV2!F44</f>
        <v>Chưa bắt đầu</v>
      </c>
      <c r="I44" s="7" t="str">
        <f aca="false">TV3!F44</f>
        <v>Chưa bắt đầu</v>
      </c>
    </row>
    <row r="45" customFormat="false" ht="15" hidden="false" customHeight="false" outlineLevel="0" collapsed="false">
      <c r="A45" s="5" t="n">
        <v>44</v>
      </c>
      <c r="B45" s="6" t="n">
        <v>46601</v>
      </c>
      <c r="C45" s="5" t="s">
        <v>192</v>
      </c>
      <c r="D45" s="5" t="s">
        <v>193</v>
      </c>
      <c r="E45" s="5" t="s">
        <v>194</v>
      </c>
      <c r="F45" s="5" t="s">
        <v>195</v>
      </c>
      <c r="G45" s="7" t="str">
        <f aca="false">TV1!F45</f>
        <v>Chưa bắt đầu</v>
      </c>
      <c r="H45" s="7" t="str">
        <f aca="false">TV2!F45</f>
        <v>Chưa bắt đầu</v>
      </c>
      <c r="I45" s="7" t="str">
        <f aca="false">TV3!F45</f>
        <v>Chưa bắt đầu</v>
      </c>
    </row>
    <row r="46" customFormat="false" ht="15" hidden="false" customHeight="false" outlineLevel="0" collapsed="false">
      <c r="A46" s="5" t="n">
        <v>45</v>
      </c>
      <c r="B46" s="6" t="n">
        <v>46608</v>
      </c>
      <c r="C46" s="5" t="s">
        <v>196</v>
      </c>
      <c r="D46" s="5" t="s">
        <v>197</v>
      </c>
      <c r="E46" s="5" t="s">
        <v>198</v>
      </c>
      <c r="F46" s="5" t="s">
        <v>199</v>
      </c>
      <c r="G46" s="7" t="str">
        <f aca="false">TV1!F46</f>
        <v>Chưa bắt đầu</v>
      </c>
      <c r="H46" s="7" t="str">
        <f aca="false">TV2!F46</f>
        <v>Chưa bắt đầu</v>
      </c>
      <c r="I46" s="7" t="str">
        <f aca="false">TV3!F46</f>
        <v>Chưa bắt đầu</v>
      </c>
    </row>
    <row r="47" customFormat="false" ht="15" hidden="false" customHeight="false" outlineLevel="0" collapsed="false">
      <c r="A47" s="8" t="n">
        <v>46</v>
      </c>
      <c r="B47" s="9" t="n">
        <v>46615</v>
      </c>
      <c r="C47" s="8" t="s">
        <v>200</v>
      </c>
      <c r="D47" s="8" t="s">
        <v>200</v>
      </c>
      <c r="E47" s="8" t="s">
        <v>201</v>
      </c>
      <c r="F47" s="8" t="s">
        <v>202</v>
      </c>
      <c r="G47" s="7" t="str">
        <f aca="false">TV1!F47</f>
        <v>Chưa bắt đầu</v>
      </c>
      <c r="H47" s="7" t="str">
        <f aca="false">TV2!F47</f>
        <v>Chưa bắt đầu</v>
      </c>
      <c r="I47" s="7" t="str">
        <f aca="false">TV3!F47</f>
        <v>Chưa bắt đầu</v>
      </c>
    </row>
    <row r="48" customFormat="false" ht="15" hidden="false" customHeight="false" outlineLevel="0" collapsed="false">
      <c r="A48" s="5" t="n">
        <v>47</v>
      </c>
      <c r="B48" s="6" t="n">
        <v>46622</v>
      </c>
      <c r="C48" s="5" t="s">
        <v>203</v>
      </c>
      <c r="D48" s="5" t="s">
        <v>204</v>
      </c>
      <c r="E48" s="5" t="s">
        <v>205</v>
      </c>
      <c r="F48" s="5" t="s">
        <v>98</v>
      </c>
      <c r="G48" s="7" t="str">
        <f aca="false">TV1!F48</f>
        <v>Chưa bắt đầu</v>
      </c>
      <c r="H48" s="7" t="str">
        <f aca="false">TV2!F48</f>
        <v>Chưa bắt đầu</v>
      </c>
      <c r="I48" s="7" t="str">
        <f aca="false">TV3!F48</f>
        <v>Chưa bắt đầu</v>
      </c>
    </row>
    <row r="49" customFormat="false" ht="15" hidden="false" customHeight="false" outlineLevel="0" collapsed="false">
      <c r="A49" s="5" t="n">
        <v>48</v>
      </c>
      <c r="B49" s="6" t="n">
        <v>46629</v>
      </c>
      <c r="C49" s="5" t="s">
        <v>206</v>
      </c>
      <c r="D49" s="5" t="s">
        <v>207</v>
      </c>
      <c r="E49" s="5" t="s">
        <v>208</v>
      </c>
      <c r="F49" s="5" t="s">
        <v>98</v>
      </c>
      <c r="G49" s="7" t="str">
        <f aca="false">TV1!F49</f>
        <v>Chưa bắt đầu</v>
      </c>
      <c r="H49" s="7" t="str">
        <f aca="false">TV2!F49</f>
        <v>Chưa bắt đầu</v>
      </c>
      <c r="I49" s="7" t="str">
        <f aca="false">TV3!F49</f>
        <v>Chưa bắt đầu</v>
      </c>
    </row>
    <row r="50" customFormat="false" ht="15" hidden="false" customHeight="false" outlineLevel="0" collapsed="false">
      <c r="A50" s="5" t="n">
        <v>49</v>
      </c>
      <c r="B50" s="6" t="n">
        <v>46636</v>
      </c>
      <c r="C50" s="5" t="s">
        <v>206</v>
      </c>
      <c r="D50" s="5" t="s">
        <v>209</v>
      </c>
      <c r="E50" s="5" t="s">
        <v>210</v>
      </c>
      <c r="F50" s="5" t="s">
        <v>98</v>
      </c>
      <c r="G50" s="7" t="str">
        <f aca="false">TV1!F50</f>
        <v>Chưa bắt đầu</v>
      </c>
      <c r="H50" s="7" t="str">
        <f aca="false">TV2!F50</f>
        <v>Chưa bắt đầu</v>
      </c>
      <c r="I50" s="7" t="str">
        <f aca="false">TV3!F50</f>
        <v>Chưa bắt đầu</v>
      </c>
    </row>
    <row r="51" customFormat="false" ht="23.85" hidden="false" customHeight="false" outlineLevel="0" collapsed="false">
      <c r="A51" s="5" t="n">
        <v>50</v>
      </c>
      <c r="B51" s="6" t="n">
        <v>46643</v>
      </c>
      <c r="C51" s="5" t="s">
        <v>211</v>
      </c>
      <c r="D51" s="5" t="s">
        <v>212</v>
      </c>
      <c r="E51" s="5" t="s">
        <v>213</v>
      </c>
      <c r="F51" s="5" t="s">
        <v>214</v>
      </c>
      <c r="G51" s="7" t="str">
        <f aca="false">TV1!F51</f>
        <v>Chưa bắt đầu</v>
      </c>
      <c r="H51" s="7" t="str">
        <f aca="false">TV2!F51</f>
        <v>Chưa bắt đầu</v>
      </c>
      <c r="I51" s="7" t="str">
        <f aca="false">TV3!F51</f>
        <v>Chưa bắt đầu</v>
      </c>
    </row>
    <row r="52" customFormat="false" ht="15" hidden="false" customHeight="false" outlineLevel="0" collapsed="false">
      <c r="A52" s="5" t="n">
        <v>51</v>
      </c>
      <c r="B52" s="6" t="n">
        <v>46650</v>
      </c>
      <c r="C52" s="5" t="s">
        <v>215</v>
      </c>
      <c r="D52" s="5" t="s">
        <v>216</v>
      </c>
      <c r="E52" s="5" t="s">
        <v>217</v>
      </c>
      <c r="F52" s="5" t="s">
        <v>218</v>
      </c>
      <c r="G52" s="7" t="str">
        <f aca="false">TV1!F52</f>
        <v>Chưa bắt đầu</v>
      </c>
      <c r="H52" s="7" t="str">
        <f aca="false">TV2!F52</f>
        <v>Chưa bắt đầu</v>
      </c>
      <c r="I52" s="7" t="str">
        <f aca="false">TV3!F52</f>
        <v>Chưa bắt đầu</v>
      </c>
    </row>
    <row r="53" customFormat="false" ht="15" hidden="false" customHeight="false" outlineLevel="0" collapsed="false">
      <c r="A53" s="5" t="n">
        <v>52</v>
      </c>
      <c r="B53" s="6" t="n">
        <v>46657</v>
      </c>
      <c r="C53" s="5" t="s">
        <v>219</v>
      </c>
      <c r="D53" s="5" t="s">
        <v>220</v>
      </c>
      <c r="E53" s="5" t="s">
        <v>221</v>
      </c>
      <c r="F53" s="5" t="s">
        <v>222</v>
      </c>
      <c r="G53" s="7" t="str">
        <f aca="false">TV1!F53</f>
        <v>Chưa bắt đầu</v>
      </c>
      <c r="H53" s="7" t="str">
        <f aca="false">TV2!F53</f>
        <v>Chưa bắt đầu</v>
      </c>
      <c r="I53" s="7" t="str">
        <f aca="false">TV3!F53</f>
        <v>Chưa bắt đầu</v>
      </c>
    </row>
    <row r="54" customFormat="false" ht="15" hidden="false" customHeight="false" outlineLevel="0" collapsed="false">
      <c r="A54" s="5" t="n">
        <v>53</v>
      </c>
      <c r="B54" s="6" t="n">
        <v>46664</v>
      </c>
      <c r="C54" s="5" t="s">
        <v>223</v>
      </c>
      <c r="D54" s="5" t="s">
        <v>224</v>
      </c>
      <c r="E54" s="5" t="s">
        <v>225</v>
      </c>
      <c r="F54" s="5" t="s">
        <v>98</v>
      </c>
      <c r="G54" s="7" t="str">
        <f aca="false">TV1!F54</f>
        <v>Chưa bắt đầu</v>
      </c>
      <c r="H54" s="7" t="str">
        <f aca="false">TV2!F54</f>
        <v>Chưa bắt đầu</v>
      </c>
      <c r="I54" s="7" t="str">
        <f aca="false">TV3!F54</f>
        <v>Chưa bắt đầu</v>
      </c>
    </row>
    <row r="55" customFormat="false" ht="15" hidden="false" customHeight="false" outlineLevel="0" collapsed="false">
      <c r="A55" s="5" t="n">
        <v>54</v>
      </c>
      <c r="B55" s="6" t="n">
        <v>46671</v>
      </c>
      <c r="C55" s="5" t="s">
        <v>226</v>
      </c>
      <c r="D55" s="5" t="s">
        <v>227</v>
      </c>
      <c r="E55" s="5" t="s">
        <v>228</v>
      </c>
      <c r="F55" s="5" t="s">
        <v>98</v>
      </c>
      <c r="G55" s="7" t="str">
        <f aca="false">TV1!F55</f>
        <v>Chưa bắt đầu</v>
      </c>
      <c r="H55" s="7" t="str">
        <f aca="false">TV2!F55</f>
        <v>Chưa bắt đầu</v>
      </c>
      <c r="I55" s="7" t="str">
        <f aca="false">TV3!F55</f>
        <v>Chưa bắt đầu</v>
      </c>
    </row>
    <row r="56" customFormat="false" ht="23.85" hidden="false" customHeight="false" outlineLevel="0" collapsed="false">
      <c r="A56" s="5" t="n">
        <v>55</v>
      </c>
      <c r="B56" s="6" t="n">
        <v>46678</v>
      </c>
      <c r="C56" s="5" t="s">
        <v>229</v>
      </c>
      <c r="D56" s="5" t="s">
        <v>230</v>
      </c>
      <c r="E56" s="5" t="s">
        <v>231</v>
      </c>
      <c r="F56" s="5" t="s">
        <v>232</v>
      </c>
      <c r="G56" s="7" t="str">
        <f aca="false">TV1!F56</f>
        <v>Chưa bắt đầu</v>
      </c>
      <c r="H56" s="7" t="str">
        <f aca="false">TV2!F56</f>
        <v>Chưa bắt đầu</v>
      </c>
      <c r="I56" s="7" t="str">
        <f aca="false">TV3!F56</f>
        <v>Chưa bắt đầu</v>
      </c>
    </row>
    <row r="57" customFormat="false" ht="15" hidden="false" customHeight="false" outlineLevel="0" collapsed="false">
      <c r="A57" s="8" t="n">
        <v>56</v>
      </c>
      <c r="B57" s="9" t="n">
        <v>46685</v>
      </c>
      <c r="C57" s="8" t="s">
        <v>233</v>
      </c>
      <c r="D57" s="8" t="s">
        <v>233</v>
      </c>
      <c r="E57" s="8" t="s">
        <v>233</v>
      </c>
      <c r="F57" s="8" t="s">
        <v>234</v>
      </c>
      <c r="G57" s="7" t="str">
        <f aca="false">TV1!F57</f>
        <v>Chưa bắt đầu</v>
      </c>
      <c r="H57" s="7" t="str">
        <f aca="false">TV2!F57</f>
        <v>Chưa bắt đầu</v>
      </c>
      <c r="I57" s="7" t="str">
        <f aca="false">TV3!F57</f>
        <v>Chưa bắt đầu</v>
      </c>
    </row>
    <row r="58" customFormat="false" ht="15" hidden="false" customHeight="false" outlineLevel="0" collapsed="false">
      <c r="A58" s="5" t="n">
        <v>57</v>
      </c>
      <c r="B58" s="6" t="n">
        <v>46692</v>
      </c>
      <c r="C58" s="5" t="s">
        <v>235</v>
      </c>
      <c r="D58" s="5" t="s">
        <v>236</v>
      </c>
      <c r="E58" s="5" t="s">
        <v>237</v>
      </c>
      <c r="F58" s="5" t="s">
        <v>238</v>
      </c>
      <c r="G58" s="7" t="str">
        <f aca="false">TV1!F58</f>
        <v>Chưa bắt đầu</v>
      </c>
      <c r="H58" s="7" t="str">
        <f aca="false">TV2!F58</f>
        <v>Chưa bắt đầu</v>
      </c>
      <c r="I58" s="7" t="str">
        <f aca="false">TV3!F58</f>
        <v>Chưa bắt đầu</v>
      </c>
    </row>
    <row r="59" customFormat="false" ht="15" hidden="false" customHeight="false" outlineLevel="0" collapsed="false">
      <c r="A59" s="5" t="n">
        <v>58</v>
      </c>
      <c r="B59" s="6" t="n">
        <v>46699</v>
      </c>
      <c r="C59" s="5" t="s">
        <v>239</v>
      </c>
      <c r="D59" s="5" t="s">
        <v>239</v>
      </c>
      <c r="E59" s="5" t="s">
        <v>240</v>
      </c>
      <c r="F59" s="5" t="s">
        <v>98</v>
      </c>
      <c r="G59" s="7" t="str">
        <f aca="false">TV1!F59</f>
        <v>Chưa bắt đầu</v>
      </c>
      <c r="H59" s="7" t="str">
        <f aca="false">TV2!F59</f>
        <v>Chưa bắt đầu</v>
      </c>
      <c r="I59" s="7" t="str">
        <f aca="false">TV3!F59</f>
        <v>Chưa bắt đầu</v>
      </c>
    </row>
    <row r="60" customFormat="false" ht="15" hidden="false" customHeight="false" outlineLevel="0" collapsed="false">
      <c r="A60" s="5" t="n">
        <v>59</v>
      </c>
      <c r="B60" s="6" t="n">
        <v>46706</v>
      </c>
      <c r="C60" s="5" t="s">
        <v>241</v>
      </c>
      <c r="D60" s="5" t="s">
        <v>242</v>
      </c>
      <c r="E60" s="5" t="s">
        <v>243</v>
      </c>
      <c r="F60" s="5" t="s">
        <v>98</v>
      </c>
      <c r="G60" s="7" t="str">
        <f aca="false">TV1!F60</f>
        <v>Chưa bắt đầu</v>
      </c>
      <c r="H60" s="7" t="str">
        <f aca="false">TV2!F60</f>
        <v>Chưa bắt đầu</v>
      </c>
      <c r="I60" s="7" t="str">
        <f aca="false">TV3!F60</f>
        <v>Chưa bắt đầu</v>
      </c>
    </row>
    <row r="61" customFormat="false" ht="15" hidden="false" customHeight="false" outlineLevel="0" collapsed="false">
      <c r="A61" s="5" t="n">
        <v>60</v>
      </c>
      <c r="B61" s="6" t="n">
        <v>46713</v>
      </c>
      <c r="C61" s="5" t="s">
        <v>244</v>
      </c>
      <c r="D61" s="5" t="s">
        <v>245</v>
      </c>
      <c r="E61" s="5" t="s">
        <v>246</v>
      </c>
      <c r="F61" s="5" t="s">
        <v>247</v>
      </c>
      <c r="G61" s="7" t="str">
        <f aca="false">TV1!F61</f>
        <v>Chưa bắt đầu</v>
      </c>
      <c r="H61" s="7" t="str">
        <f aca="false">TV2!F61</f>
        <v>Chưa bắt đầu</v>
      </c>
      <c r="I61" s="7" t="str">
        <f aca="false">TV3!F61</f>
        <v>Chưa bắt đầu</v>
      </c>
    </row>
    <row r="62" customFormat="false" ht="15" hidden="false" customHeight="false" outlineLevel="0" collapsed="false">
      <c r="A62" s="5" t="n">
        <v>61</v>
      </c>
      <c r="B62" s="6" t="n">
        <v>46720</v>
      </c>
      <c r="C62" s="5" t="s">
        <v>175</v>
      </c>
      <c r="D62" s="5" t="s">
        <v>248</v>
      </c>
      <c r="E62" s="5" t="s">
        <v>249</v>
      </c>
      <c r="F62" s="5" t="s">
        <v>98</v>
      </c>
      <c r="G62" s="7" t="str">
        <f aca="false">TV1!F62</f>
        <v>Chưa bắt đầu</v>
      </c>
      <c r="H62" s="7" t="str">
        <f aca="false">TV2!F62</f>
        <v>Chưa bắt đầu</v>
      </c>
      <c r="I62" s="7" t="str">
        <f aca="false">TV3!F62</f>
        <v>Chưa bắt đầu</v>
      </c>
    </row>
    <row r="63" customFormat="false" ht="15" hidden="false" customHeight="false" outlineLevel="0" collapsed="false">
      <c r="A63" s="8" t="n">
        <v>62</v>
      </c>
      <c r="B63" s="9" t="n">
        <v>46727</v>
      </c>
      <c r="C63" s="8" t="s">
        <v>176</v>
      </c>
      <c r="D63" s="8" t="s">
        <v>176</v>
      </c>
      <c r="E63" s="8" t="s">
        <v>250</v>
      </c>
      <c r="F63" s="8" t="s">
        <v>251</v>
      </c>
      <c r="G63" s="7" t="str">
        <f aca="false">TV1!F63</f>
        <v>Chưa bắt đầu</v>
      </c>
      <c r="H63" s="7" t="str">
        <f aca="false">TV2!F63</f>
        <v>Chưa bắt đầu</v>
      </c>
      <c r="I63" s="7" t="str">
        <f aca="false">TV3!F63</f>
        <v>Chưa bắt đầu</v>
      </c>
    </row>
    <row r="64" customFormat="false" ht="15" hidden="false" customHeight="false" outlineLevel="0" collapsed="false">
      <c r="A64" s="5" t="n">
        <v>63</v>
      </c>
      <c r="B64" s="6" t="n">
        <v>46734</v>
      </c>
      <c r="C64" s="5" t="s">
        <v>252</v>
      </c>
      <c r="D64" s="5" t="s">
        <v>253</v>
      </c>
      <c r="E64" s="5" t="s">
        <v>254</v>
      </c>
      <c r="F64" s="5" t="s">
        <v>255</v>
      </c>
      <c r="G64" s="7" t="str">
        <f aca="false">TV1!F64</f>
        <v>Chưa bắt đầu</v>
      </c>
      <c r="H64" s="7" t="str">
        <f aca="false">TV2!F64</f>
        <v>Chưa bắt đầu</v>
      </c>
      <c r="I64" s="7" t="str">
        <f aca="false">TV3!F64</f>
        <v>Chưa bắt đầu</v>
      </c>
    </row>
    <row r="65" customFormat="false" ht="15" hidden="false" customHeight="false" outlineLevel="0" collapsed="false">
      <c r="A65" s="5" t="n">
        <v>64</v>
      </c>
      <c r="B65" s="6" t="n">
        <v>46741</v>
      </c>
      <c r="C65" s="5" t="s">
        <v>256</v>
      </c>
      <c r="D65" s="5" t="s">
        <v>257</v>
      </c>
      <c r="E65" s="5" t="s">
        <v>258</v>
      </c>
      <c r="F65" s="5" t="s">
        <v>259</v>
      </c>
      <c r="G65" s="7" t="str">
        <f aca="false">TV1!F65</f>
        <v>Chưa bắt đầu</v>
      </c>
      <c r="H65" s="7" t="str">
        <f aca="false">TV2!F65</f>
        <v>Chưa bắt đầu</v>
      </c>
      <c r="I65" s="7" t="str">
        <f aca="false">TV3!F65</f>
        <v>Chưa bắt đầu</v>
      </c>
    </row>
    <row r="66" customFormat="false" ht="15" hidden="false" customHeight="false" outlineLevel="0" collapsed="false">
      <c r="A66" s="5" t="n">
        <v>65</v>
      </c>
      <c r="B66" s="6" t="n">
        <v>46748</v>
      </c>
      <c r="C66" s="5" t="s">
        <v>260</v>
      </c>
      <c r="D66" s="5" t="s">
        <v>261</v>
      </c>
      <c r="E66" s="5" t="s">
        <v>261</v>
      </c>
      <c r="F66" s="5" t="s">
        <v>262</v>
      </c>
      <c r="G66" s="7" t="str">
        <f aca="false">TV1!F66</f>
        <v>Chưa bắt đầu</v>
      </c>
      <c r="H66" s="7" t="str">
        <f aca="false">TV2!F66</f>
        <v>Chưa bắt đầu</v>
      </c>
      <c r="I66" s="7" t="str">
        <f aca="false">TV3!F66</f>
        <v>Chưa bắt đầu</v>
      </c>
    </row>
  </sheetData>
  <autoFilter ref="A1:I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0"/>
  </cols>
  <sheetData>
    <row r="1" customFormat="false" ht="30" hidden="false" customHeight="true" outlineLevel="0" collapsed="false">
      <c r="A1" s="4" t="s">
        <v>263</v>
      </c>
      <c r="B1" s="4" t="s">
        <v>264</v>
      </c>
      <c r="C1" s="4" t="s">
        <v>265</v>
      </c>
      <c r="D1" s="4" t="s">
        <v>266</v>
      </c>
      <c r="E1" s="4" t="s">
        <v>267</v>
      </c>
    </row>
    <row r="2" customFormat="false" ht="15" hidden="false" customHeight="false" outlineLevel="0" collapsed="false">
      <c r="A2" s="10" t="s">
        <v>268</v>
      </c>
      <c r="B2" s="10" t="n">
        <f aca="false">COUNTIF(TV1!$F$2:$F$66,$A2)</f>
        <v>65</v>
      </c>
      <c r="C2" s="10" t="n">
        <f aca="false">COUNTIF(TV2!$F$2:$F$66,$A2)</f>
        <v>65</v>
      </c>
      <c r="D2" s="10" t="n">
        <f aca="false">COUNTIF(TV3!$F$2:$F$66,$A2)</f>
        <v>65</v>
      </c>
      <c r="E2" s="10" t="n">
        <f aca="false">SUM(B2:D2)</f>
        <v>195</v>
      </c>
    </row>
    <row r="3" customFormat="false" ht="15" hidden="false" customHeight="false" outlineLevel="0" collapsed="false">
      <c r="A3" s="10" t="s">
        <v>269</v>
      </c>
      <c r="B3" s="10" t="n">
        <f aca="false">COUNTIF(TV1!$F$2:$F$66,$A3)</f>
        <v>0</v>
      </c>
      <c r="C3" s="10" t="n">
        <f aca="false">COUNTIF(TV2!$F$2:$F$66,$A3)</f>
        <v>0</v>
      </c>
      <c r="D3" s="10" t="n">
        <f aca="false">COUNTIF(TV3!$F$2:$F$66,$A3)</f>
        <v>0</v>
      </c>
      <c r="E3" s="10" t="n">
        <f aca="false">SUM(B3:D3)</f>
        <v>0</v>
      </c>
    </row>
    <row r="4" customFormat="false" ht="15" hidden="false" customHeight="false" outlineLevel="0" collapsed="false">
      <c r="A4" s="10" t="s">
        <v>270</v>
      </c>
      <c r="B4" s="10" t="n">
        <f aca="false">COUNTIF(TV1!$F$2:$F$66,$A4)</f>
        <v>0</v>
      </c>
      <c r="C4" s="10" t="n">
        <f aca="false">COUNTIF(TV2!$F$2:$F$66,$A4)</f>
        <v>0</v>
      </c>
      <c r="D4" s="10" t="n">
        <f aca="false">COUNTIF(TV3!$F$2:$F$66,$A4)</f>
        <v>0</v>
      </c>
      <c r="E4" s="10" t="n">
        <f aca="false">SUM(B4:D4)</f>
        <v>0</v>
      </c>
    </row>
    <row r="5" customFormat="false" ht="15" hidden="false" customHeight="false" outlineLevel="0" collapsed="false">
      <c r="A5" s="10" t="s">
        <v>271</v>
      </c>
      <c r="B5" s="10" t="n">
        <f aca="false">COUNTIF(TV1!$F$2:$F$66,$A5)</f>
        <v>0</v>
      </c>
      <c r="C5" s="10" t="n">
        <f aca="false">COUNTIF(TV2!$F$2:$F$66,$A5)</f>
        <v>0</v>
      </c>
      <c r="D5" s="10" t="n">
        <f aca="false">COUNTIF(TV3!$F$2:$F$66,$A5)</f>
        <v>0</v>
      </c>
      <c r="E5" s="10" t="n">
        <f aca="false">SUM(B5:D5)</f>
        <v>0</v>
      </c>
    </row>
    <row r="6" customFormat="false" ht="15" hidden="false" customHeight="false" outlineLevel="0" collapsed="false">
      <c r="A6" s="10" t="s">
        <v>272</v>
      </c>
      <c r="B6" s="10" t="n">
        <f aca="false">COUNTIF(TV1!$F$2:$F$66,$A6)</f>
        <v>0</v>
      </c>
      <c r="C6" s="10" t="n">
        <f aca="false">COUNTIF(TV2!$F$2:$F$66,$A6)</f>
        <v>0</v>
      </c>
      <c r="D6" s="10" t="n">
        <f aca="false">COUNTIF(TV3!$F$2:$F$66,$A6)</f>
        <v>0</v>
      </c>
      <c r="E6" s="10" t="n">
        <f aca="false">SUM(B6:D6)</f>
        <v>0</v>
      </c>
    </row>
    <row r="7" customFormat="false" ht="15" hidden="false" customHeight="false" outlineLevel="0" collapsed="false">
      <c r="A7" s="11" t="s">
        <v>273</v>
      </c>
      <c r="B7" s="11" t="n">
        <f aca="false">SUM(B2:B6)</f>
        <v>65</v>
      </c>
      <c r="C7" s="11" t="n">
        <f aca="false">SUM(C2:C6)</f>
        <v>65</v>
      </c>
      <c r="D7" s="11" t="n">
        <f aca="false">SUM(D2:D6)</f>
        <v>65</v>
      </c>
      <c r="E7" s="11" t="n">
        <f aca="false">SUM(E2:E6)</f>
        <v>195</v>
      </c>
    </row>
    <row r="8" customFormat="false" ht="15" hidden="false" customHeight="false" outlineLevel="0" collapsed="false">
      <c r="A8" s="11" t="s">
        <v>274</v>
      </c>
      <c r="B8" s="12" t="n">
        <f aca="false">IF(B7=0,0,B4/B7)</f>
        <v>0</v>
      </c>
      <c r="C8" s="12" t="n">
        <f aca="false">IF(C7=0,0,C4/C7)</f>
        <v>0</v>
      </c>
      <c r="D8" s="12" t="n">
        <f aca="false">IF(D7=0,0,D4/D7)</f>
        <v>0</v>
      </c>
      <c r="E8" s="12" t="n">
        <f aca="false">IF(E7=0,0,E4/E7)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40"/>
  </cols>
  <sheetData>
    <row r="1" customFormat="false" ht="30" hidden="false" customHeight="true" outlineLevel="0" collapsed="false">
      <c r="A1" s="4" t="s">
        <v>16</v>
      </c>
      <c r="B1" s="4" t="s">
        <v>10</v>
      </c>
      <c r="C1" s="4" t="s">
        <v>17</v>
      </c>
      <c r="D1" s="4" t="s">
        <v>275</v>
      </c>
      <c r="E1" s="4" t="s">
        <v>276</v>
      </c>
      <c r="F1" s="4" t="s">
        <v>263</v>
      </c>
      <c r="G1" s="4" t="s">
        <v>277</v>
      </c>
    </row>
    <row r="2" customFormat="false" ht="23.85" hidden="false" customHeight="false" outlineLevel="0" collapsed="false">
      <c r="A2" s="5" t="n">
        <v>1</v>
      </c>
      <c r="B2" s="5" t="s">
        <v>278</v>
      </c>
      <c r="C2" s="6" t="n">
        <v>46300</v>
      </c>
      <c r="D2" s="5" t="s">
        <v>25</v>
      </c>
      <c r="E2" s="5"/>
      <c r="F2" s="13" t="s">
        <v>268</v>
      </c>
      <c r="G2" s="13"/>
    </row>
    <row r="3" customFormat="false" ht="23.85" hidden="false" customHeight="false" outlineLevel="0" collapsed="false">
      <c r="A3" s="5" t="n">
        <v>2</v>
      </c>
      <c r="B3" s="5" t="s">
        <v>278</v>
      </c>
      <c r="C3" s="6" t="n">
        <v>46307</v>
      </c>
      <c r="D3" s="5" t="s">
        <v>29</v>
      </c>
      <c r="E3" s="5"/>
      <c r="F3" s="13" t="s">
        <v>268</v>
      </c>
      <c r="G3" s="13"/>
    </row>
    <row r="4" customFormat="false" ht="23.85" hidden="false" customHeight="false" outlineLevel="0" collapsed="false">
      <c r="A4" s="5" t="n">
        <v>3</v>
      </c>
      <c r="B4" s="5" t="s">
        <v>278</v>
      </c>
      <c r="C4" s="6" t="n">
        <v>46314</v>
      </c>
      <c r="D4" s="5" t="s">
        <v>33</v>
      </c>
      <c r="E4" s="5"/>
      <c r="F4" s="13" t="s">
        <v>268</v>
      </c>
      <c r="G4" s="13"/>
    </row>
    <row r="5" customFormat="false" ht="23.85" hidden="false" customHeight="false" outlineLevel="0" collapsed="false">
      <c r="A5" s="8" t="n">
        <v>4</v>
      </c>
      <c r="B5" s="8" t="s">
        <v>278</v>
      </c>
      <c r="C5" s="9" t="n">
        <v>46321</v>
      </c>
      <c r="D5" s="8" t="s">
        <v>37</v>
      </c>
      <c r="E5" s="14" t="s">
        <v>40</v>
      </c>
      <c r="F5" s="13" t="s">
        <v>268</v>
      </c>
      <c r="G5" s="13"/>
    </row>
    <row r="6" customFormat="false" ht="23.85" hidden="false" customHeight="false" outlineLevel="0" collapsed="false">
      <c r="A6" s="5" t="n">
        <v>5</v>
      </c>
      <c r="B6" s="5" t="s">
        <v>278</v>
      </c>
      <c r="C6" s="6" t="n">
        <v>46328</v>
      </c>
      <c r="D6" s="5" t="s">
        <v>41</v>
      </c>
      <c r="E6" s="5"/>
      <c r="F6" s="13" t="s">
        <v>268</v>
      </c>
      <c r="G6" s="13"/>
    </row>
    <row r="7" customFormat="false" ht="23.85" hidden="false" customHeight="false" outlineLevel="0" collapsed="false">
      <c r="A7" s="5" t="n">
        <v>6</v>
      </c>
      <c r="B7" s="5" t="s">
        <v>278</v>
      </c>
      <c r="C7" s="6" t="n">
        <v>46335</v>
      </c>
      <c r="D7" s="5" t="s">
        <v>45</v>
      </c>
      <c r="E7" s="5"/>
      <c r="F7" s="13" t="s">
        <v>268</v>
      </c>
      <c r="G7" s="13"/>
    </row>
    <row r="8" customFormat="false" ht="23.85" hidden="false" customHeight="false" outlineLevel="0" collapsed="false">
      <c r="A8" s="5" t="n">
        <v>7</v>
      </c>
      <c r="B8" s="5" t="s">
        <v>278</v>
      </c>
      <c r="C8" s="6" t="n">
        <v>46342</v>
      </c>
      <c r="D8" s="5" t="s">
        <v>49</v>
      </c>
      <c r="E8" s="5"/>
      <c r="F8" s="13" t="s">
        <v>268</v>
      </c>
      <c r="G8" s="13"/>
    </row>
    <row r="9" customFormat="false" ht="23.85" hidden="false" customHeight="false" outlineLevel="0" collapsed="false">
      <c r="A9" s="5" t="n">
        <v>8</v>
      </c>
      <c r="B9" s="5" t="s">
        <v>278</v>
      </c>
      <c r="C9" s="6" t="n">
        <v>46349</v>
      </c>
      <c r="D9" s="5" t="s">
        <v>53</v>
      </c>
      <c r="E9" s="5"/>
      <c r="F9" s="13" t="s">
        <v>268</v>
      </c>
      <c r="G9" s="13"/>
    </row>
    <row r="10" customFormat="false" ht="23.85" hidden="false" customHeight="false" outlineLevel="0" collapsed="false">
      <c r="A10" s="5" t="n">
        <v>9</v>
      </c>
      <c r="B10" s="5" t="s">
        <v>278</v>
      </c>
      <c r="C10" s="6" t="n">
        <v>46356</v>
      </c>
      <c r="D10" s="5" t="s">
        <v>57</v>
      </c>
      <c r="E10" s="5"/>
      <c r="F10" s="13" t="s">
        <v>268</v>
      </c>
      <c r="G10" s="13"/>
    </row>
    <row r="11" customFormat="false" ht="23.85" hidden="false" customHeight="false" outlineLevel="0" collapsed="false">
      <c r="A11" s="5" t="n">
        <v>10</v>
      </c>
      <c r="B11" s="5" t="s">
        <v>278</v>
      </c>
      <c r="C11" s="6" t="n">
        <v>46363</v>
      </c>
      <c r="D11" s="5" t="s">
        <v>61</v>
      </c>
      <c r="E11" s="5"/>
      <c r="F11" s="13" t="s">
        <v>268</v>
      </c>
      <c r="G11" s="13"/>
    </row>
    <row r="12" customFormat="false" ht="23.85" hidden="false" customHeight="false" outlineLevel="0" collapsed="false">
      <c r="A12" s="5" t="n">
        <v>11</v>
      </c>
      <c r="B12" s="5" t="s">
        <v>278</v>
      </c>
      <c r="C12" s="6" t="n">
        <v>46370</v>
      </c>
      <c r="D12" s="5" t="s">
        <v>65</v>
      </c>
      <c r="E12" s="5"/>
      <c r="F12" s="13" t="s">
        <v>268</v>
      </c>
      <c r="G12" s="13"/>
    </row>
    <row r="13" customFormat="false" ht="23.85" hidden="false" customHeight="false" outlineLevel="0" collapsed="false">
      <c r="A13" s="5" t="n">
        <v>12</v>
      </c>
      <c r="B13" s="5" t="s">
        <v>278</v>
      </c>
      <c r="C13" s="6" t="n">
        <v>46377</v>
      </c>
      <c r="D13" s="5" t="s">
        <v>69</v>
      </c>
      <c r="E13" s="5"/>
      <c r="F13" s="13" t="s">
        <v>268</v>
      </c>
      <c r="G13" s="13"/>
    </row>
    <row r="14" customFormat="false" ht="23.85" hidden="false" customHeight="false" outlineLevel="0" collapsed="false">
      <c r="A14" s="5" t="n">
        <v>13</v>
      </c>
      <c r="B14" s="5" t="s">
        <v>278</v>
      </c>
      <c r="C14" s="6" t="n">
        <v>46384</v>
      </c>
      <c r="D14" s="5" t="s">
        <v>73</v>
      </c>
      <c r="E14" s="5"/>
      <c r="F14" s="13" t="s">
        <v>268</v>
      </c>
      <c r="G14" s="13"/>
    </row>
    <row r="15" customFormat="false" ht="23.85" hidden="false" customHeight="false" outlineLevel="0" collapsed="false">
      <c r="A15" s="8" t="n">
        <v>14</v>
      </c>
      <c r="B15" s="8" t="s">
        <v>278</v>
      </c>
      <c r="C15" s="9" t="n">
        <v>46391</v>
      </c>
      <c r="D15" s="8" t="s">
        <v>77</v>
      </c>
      <c r="E15" s="14" t="s">
        <v>80</v>
      </c>
      <c r="F15" s="13" t="s">
        <v>268</v>
      </c>
      <c r="G15" s="13"/>
    </row>
    <row r="16" customFormat="false" ht="23.85" hidden="false" customHeight="false" outlineLevel="0" collapsed="false">
      <c r="A16" s="5" t="n">
        <v>15</v>
      </c>
      <c r="B16" s="5" t="s">
        <v>279</v>
      </c>
      <c r="C16" s="6" t="n">
        <v>46398</v>
      </c>
      <c r="D16" s="5" t="s">
        <v>81</v>
      </c>
      <c r="E16" s="5"/>
      <c r="F16" s="13" t="s">
        <v>268</v>
      </c>
      <c r="G16" s="13"/>
    </row>
    <row r="17" customFormat="false" ht="23.85" hidden="false" customHeight="false" outlineLevel="0" collapsed="false">
      <c r="A17" s="5" t="n">
        <v>16</v>
      </c>
      <c r="B17" s="5" t="s">
        <v>279</v>
      </c>
      <c r="C17" s="6" t="n">
        <v>46405</v>
      </c>
      <c r="D17" s="5" t="s">
        <v>85</v>
      </c>
      <c r="E17" s="5"/>
      <c r="F17" s="13" t="s">
        <v>268</v>
      </c>
      <c r="G17" s="13"/>
    </row>
    <row r="18" customFormat="false" ht="23.85" hidden="false" customHeight="false" outlineLevel="0" collapsed="false">
      <c r="A18" s="5" t="n">
        <v>17</v>
      </c>
      <c r="B18" s="5" t="s">
        <v>279</v>
      </c>
      <c r="C18" s="6" t="n">
        <v>46412</v>
      </c>
      <c r="D18" s="5" t="s">
        <v>89</v>
      </c>
      <c r="E18" s="5"/>
      <c r="F18" s="13" t="s">
        <v>268</v>
      </c>
      <c r="G18" s="13"/>
    </row>
    <row r="19" customFormat="false" ht="23.85" hidden="false" customHeight="false" outlineLevel="0" collapsed="false">
      <c r="A19" s="5" t="n">
        <v>18</v>
      </c>
      <c r="B19" s="5" t="s">
        <v>279</v>
      </c>
      <c r="C19" s="6" t="n">
        <v>46419</v>
      </c>
      <c r="D19" s="5" t="s">
        <v>93</v>
      </c>
      <c r="E19" s="5"/>
      <c r="F19" s="13" t="s">
        <v>268</v>
      </c>
      <c r="G19" s="13"/>
    </row>
    <row r="20" customFormat="false" ht="23.85" hidden="false" customHeight="false" outlineLevel="0" collapsed="false">
      <c r="A20" s="5" t="n">
        <v>19</v>
      </c>
      <c r="B20" s="5" t="s">
        <v>279</v>
      </c>
      <c r="C20" s="6" t="n">
        <v>46426</v>
      </c>
      <c r="D20" s="5" t="s">
        <v>97</v>
      </c>
      <c r="E20" s="5"/>
      <c r="F20" s="13" t="s">
        <v>268</v>
      </c>
      <c r="G20" s="13"/>
    </row>
    <row r="21" customFormat="false" ht="23.85" hidden="false" customHeight="false" outlineLevel="0" collapsed="false">
      <c r="A21" s="5" t="n">
        <v>20</v>
      </c>
      <c r="B21" s="5" t="s">
        <v>279</v>
      </c>
      <c r="C21" s="6" t="n">
        <v>46433</v>
      </c>
      <c r="D21" s="5" t="s">
        <v>99</v>
      </c>
      <c r="E21" s="5"/>
      <c r="F21" s="13" t="s">
        <v>268</v>
      </c>
      <c r="G21" s="13"/>
    </row>
    <row r="22" customFormat="false" ht="23.85" hidden="false" customHeight="false" outlineLevel="0" collapsed="false">
      <c r="A22" s="5" t="n">
        <v>21</v>
      </c>
      <c r="B22" s="5" t="s">
        <v>279</v>
      </c>
      <c r="C22" s="6" t="n">
        <v>46440</v>
      </c>
      <c r="D22" s="5" t="s">
        <v>103</v>
      </c>
      <c r="E22" s="5"/>
      <c r="F22" s="13" t="s">
        <v>268</v>
      </c>
      <c r="G22" s="13"/>
    </row>
    <row r="23" customFormat="false" ht="23.85" hidden="false" customHeight="false" outlineLevel="0" collapsed="false">
      <c r="A23" s="5" t="n">
        <v>22</v>
      </c>
      <c r="B23" s="5" t="s">
        <v>279</v>
      </c>
      <c r="C23" s="6" t="n">
        <v>46447</v>
      </c>
      <c r="D23" s="5" t="s">
        <v>107</v>
      </c>
      <c r="E23" s="5"/>
      <c r="F23" s="13" t="s">
        <v>268</v>
      </c>
      <c r="G23" s="13"/>
    </row>
    <row r="24" customFormat="false" ht="23.85" hidden="false" customHeight="false" outlineLevel="0" collapsed="false">
      <c r="A24" s="5" t="n">
        <v>23</v>
      </c>
      <c r="B24" s="5" t="s">
        <v>279</v>
      </c>
      <c r="C24" s="6" t="n">
        <v>46454</v>
      </c>
      <c r="D24" s="5" t="s">
        <v>111</v>
      </c>
      <c r="E24" s="5"/>
      <c r="F24" s="13" t="s">
        <v>268</v>
      </c>
      <c r="G24" s="13"/>
    </row>
    <row r="25" customFormat="false" ht="23.85" hidden="false" customHeight="false" outlineLevel="0" collapsed="false">
      <c r="A25" s="5" t="n">
        <v>24</v>
      </c>
      <c r="B25" s="5" t="s">
        <v>279</v>
      </c>
      <c r="C25" s="6" t="n">
        <v>46461</v>
      </c>
      <c r="D25" s="5" t="s">
        <v>115</v>
      </c>
      <c r="E25" s="5"/>
      <c r="F25" s="13" t="s">
        <v>268</v>
      </c>
      <c r="G25" s="13"/>
    </row>
    <row r="26" customFormat="false" ht="23.85" hidden="false" customHeight="false" outlineLevel="0" collapsed="false">
      <c r="A26" s="5" t="n">
        <v>25</v>
      </c>
      <c r="B26" s="5" t="s">
        <v>279</v>
      </c>
      <c r="C26" s="6" t="n">
        <v>46468</v>
      </c>
      <c r="D26" s="5" t="s">
        <v>119</v>
      </c>
      <c r="E26" s="5"/>
      <c r="F26" s="13" t="s">
        <v>268</v>
      </c>
      <c r="G26" s="13"/>
    </row>
    <row r="27" customFormat="false" ht="23.85" hidden="false" customHeight="false" outlineLevel="0" collapsed="false">
      <c r="A27" s="8" t="n">
        <v>26</v>
      </c>
      <c r="B27" s="8" t="s">
        <v>279</v>
      </c>
      <c r="C27" s="9" t="n">
        <v>46475</v>
      </c>
      <c r="D27" s="8" t="s">
        <v>123</v>
      </c>
      <c r="E27" s="14" t="s">
        <v>126</v>
      </c>
      <c r="F27" s="13" t="s">
        <v>268</v>
      </c>
      <c r="G27" s="13"/>
    </row>
    <row r="28" customFormat="false" ht="15" hidden="false" customHeight="false" outlineLevel="0" collapsed="false">
      <c r="A28" s="5" t="n">
        <v>27</v>
      </c>
      <c r="B28" s="5" t="s">
        <v>280</v>
      </c>
      <c r="C28" s="6" t="n">
        <v>46482</v>
      </c>
      <c r="D28" s="5" t="s">
        <v>127</v>
      </c>
      <c r="E28" s="5"/>
      <c r="F28" s="13" t="s">
        <v>268</v>
      </c>
      <c r="G28" s="13"/>
    </row>
    <row r="29" customFormat="false" ht="15" hidden="false" customHeight="false" outlineLevel="0" collapsed="false">
      <c r="A29" s="5" t="n">
        <v>28</v>
      </c>
      <c r="B29" s="5" t="s">
        <v>280</v>
      </c>
      <c r="C29" s="6" t="n">
        <v>46489</v>
      </c>
      <c r="D29" s="5" t="s">
        <v>131</v>
      </c>
      <c r="E29" s="5"/>
      <c r="F29" s="13" t="s">
        <v>268</v>
      </c>
      <c r="G29" s="13"/>
    </row>
    <row r="30" customFormat="false" ht="15" hidden="false" customHeight="false" outlineLevel="0" collapsed="false">
      <c r="A30" s="5" t="n">
        <v>29</v>
      </c>
      <c r="B30" s="5" t="s">
        <v>280</v>
      </c>
      <c r="C30" s="6" t="n">
        <v>46496</v>
      </c>
      <c r="D30" s="5" t="s">
        <v>135</v>
      </c>
      <c r="E30" s="5"/>
      <c r="F30" s="13" t="s">
        <v>268</v>
      </c>
      <c r="G30" s="13"/>
    </row>
    <row r="31" customFormat="false" ht="15" hidden="false" customHeight="false" outlineLevel="0" collapsed="false">
      <c r="A31" s="5" t="n">
        <v>30</v>
      </c>
      <c r="B31" s="5" t="s">
        <v>280</v>
      </c>
      <c r="C31" s="6" t="n">
        <v>46503</v>
      </c>
      <c r="D31" s="5" t="s">
        <v>139</v>
      </c>
      <c r="E31" s="5"/>
      <c r="F31" s="13" t="s">
        <v>268</v>
      </c>
      <c r="G31" s="13"/>
    </row>
    <row r="32" customFormat="false" ht="15" hidden="false" customHeight="false" outlineLevel="0" collapsed="false">
      <c r="A32" s="5" t="n">
        <v>31</v>
      </c>
      <c r="B32" s="5" t="s">
        <v>280</v>
      </c>
      <c r="C32" s="6" t="n">
        <v>46510</v>
      </c>
      <c r="D32" s="5" t="s">
        <v>143</v>
      </c>
      <c r="E32" s="5"/>
      <c r="F32" s="13" t="s">
        <v>268</v>
      </c>
      <c r="G32" s="13"/>
    </row>
    <row r="33" customFormat="false" ht="15" hidden="false" customHeight="false" outlineLevel="0" collapsed="false">
      <c r="A33" s="5" t="n">
        <v>32</v>
      </c>
      <c r="B33" s="5" t="s">
        <v>280</v>
      </c>
      <c r="C33" s="6" t="n">
        <v>46517</v>
      </c>
      <c r="D33" s="5" t="s">
        <v>146</v>
      </c>
      <c r="E33" s="5"/>
      <c r="F33" s="13" t="s">
        <v>268</v>
      </c>
      <c r="G33" s="13"/>
    </row>
    <row r="34" customFormat="false" ht="15" hidden="false" customHeight="false" outlineLevel="0" collapsed="false">
      <c r="A34" s="5" t="n">
        <v>33</v>
      </c>
      <c r="B34" s="5" t="s">
        <v>280</v>
      </c>
      <c r="C34" s="6" t="n">
        <v>46524</v>
      </c>
      <c r="D34" s="5" t="s">
        <v>150</v>
      </c>
      <c r="E34" s="5"/>
      <c r="F34" s="13" t="s">
        <v>268</v>
      </c>
      <c r="G34" s="13"/>
    </row>
    <row r="35" customFormat="false" ht="15" hidden="false" customHeight="false" outlineLevel="0" collapsed="false">
      <c r="A35" s="5" t="n">
        <v>34</v>
      </c>
      <c r="B35" s="5" t="s">
        <v>280</v>
      </c>
      <c r="C35" s="6" t="n">
        <v>46531</v>
      </c>
      <c r="D35" s="5" t="s">
        <v>154</v>
      </c>
      <c r="E35" s="5"/>
      <c r="F35" s="13" t="s">
        <v>268</v>
      </c>
      <c r="G35" s="13"/>
    </row>
    <row r="36" customFormat="false" ht="15" hidden="false" customHeight="false" outlineLevel="0" collapsed="false">
      <c r="A36" s="5" t="n">
        <v>35</v>
      </c>
      <c r="B36" s="5" t="s">
        <v>280</v>
      </c>
      <c r="C36" s="6" t="n">
        <v>46538</v>
      </c>
      <c r="D36" s="5" t="s">
        <v>158</v>
      </c>
      <c r="E36" s="5"/>
      <c r="F36" s="13" t="s">
        <v>268</v>
      </c>
      <c r="G36" s="13"/>
    </row>
    <row r="37" customFormat="false" ht="15" hidden="false" customHeight="false" outlineLevel="0" collapsed="false">
      <c r="A37" s="8" t="n">
        <v>36</v>
      </c>
      <c r="B37" s="8" t="s">
        <v>280</v>
      </c>
      <c r="C37" s="9" t="n">
        <v>46545</v>
      </c>
      <c r="D37" s="8" t="s">
        <v>161</v>
      </c>
      <c r="E37" s="14" t="s">
        <v>164</v>
      </c>
      <c r="F37" s="13" t="s">
        <v>268</v>
      </c>
      <c r="G37" s="13"/>
    </row>
    <row r="38" customFormat="false" ht="15" hidden="false" customHeight="false" outlineLevel="0" collapsed="false">
      <c r="A38" s="5" t="n">
        <v>37</v>
      </c>
      <c r="B38" s="5" t="s">
        <v>280</v>
      </c>
      <c r="C38" s="6" t="n">
        <v>46552</v>
      </c>
      <c r="D38" s="5" t="s">
        <v>165</v>
      </c>
      <c r="E38" s="5"/>
      <c r="F38" s="13" t="s">
        <v>268</v>
      </c>
      <c r="G38" s="13"/>
    </row>
    <row r="39" customFormat="false" ht="15" hidden="false" customHeight="false" outlineLevel="0" collapsed="false">
      <c r="A39" s="5" t="n">
        <v>38</v>
      </c>
      <c r="B39" s="5" t="s">
        <v>280</v>
      </c>
      <c r="C39" s="6" t="n">
        <v>46559</v>
      </c>
      <c r="D39" s="5" t="s">
        <v>168</v>
      </c>
      <c r="E39" s="5"/>
      <c r="F39" s="13" t="s">
        <v>268</v>
      </c>
      <c r="G39" s="13"/>
    </row>
    <row r="40" customFormat="false" ht="15" hidden="false" customHeight="false" outlineLevel="0" collapsed="false">
      <c r="A40" s="5" t="n">
        <v>39</v>
      </c>
      <c r="B40" s="5" t="s">
        <v>280</v>
      </c>
      <c r="C40" s="6" t="n">
        <v>46566</v>
      </c>
      <c r="D40" s="5" t="s">
        <v>172</v>
      </c>
      <c r="E40" s="5"/>
      <c r="F40" s="13" t="s">
        <v>268</v>
      </c>
      <c r="G40" s="13"/>
    </row>
    <row r="41" customFormat="false" ht="15" hidden="false" customHeight="false" outlineLevel="0" collapsed="false">
      <c r="A41" s="8" t="n">
        <v>40</v>
      </c>
      <c r="B41" s="8" t="s">
        <v>280</v>
      </c>
      <c r="C41" s="9" t="n">
        <v>46573</v>
      </c>
      <c r="D41" s="8" t="s">
        <v>176</v>
      </c>
      <c r="E41" s="14" t="s">
        <v>179</v>
      </c>
      <c r="F41" s="13" t="s">
        <v>268</v>
      </c>
      <c r="G41" s="13"/>
    </row>
    <row r="42" customFormat="false" ht="15" hidden="false" customHeight="false" outlineLevel="0" collapsed="false">
      <c r="A42" s="5" t="n">
        <v>41</v>
      </c>
      <c r="B42" s="5" t="s">
        <v>281</v>
      </c>
      <c r="C42" s="6" t="n">
        <v>46580</v>
      </c>
      <c r="D42" s="5" t="s">
        <v>180</v>
      </c>
      <c r="E42" s="5"/>
      <c r="F42" s="13" t="s">
        <v>268</v>
      </c>
      <c r="G42" s="13"/>
    </row>
    <row r="43" customFormat="false" ht="15" hidden="false" customHeight="false" outlineLevel="0" collapsed="false">
      <c r="A43" s="5" t="n">
        <v>42</v>
      </c>
      <c r="B43" s="5" t="s">
        <v>281</v>
      </c>
      <c r="C43" s="6" t="n">
        <v>46587</v>
      </c>
      <c r="D43" s="5" t="s">
        <v>184</v>
      </c>
      <c r="E43" s="5"/>
      <c r="F43" s="13" t="s">
        <v>268</v>
      </c>
      <c r="G43" s="13"/>
    </row>
    <row r="44" customFormat="false" ht="15" hidden="false" customHeight="false" outlineLevel="0" collapsed="false">
      <c r="A44" s="5" t="n">
        <v>43</v>
      </c>
      <c r="B44" s="5" t="s">
        <v>281</v>
      </c>
      <c r="C44" s="6" t="n">
        <v>46594</v>
      </c>
      <c r="D44" s="5" t="s">
        <v>188</v>
      </c>
      <c r="E44" s="5"/>
      <c r="F44" s="13" t="s">
        <v>268</v>
      </c>
      <c r="G44" s="13"/>
    </row>
    <row r="45" customFormat="false" ht="15" hidden="false" customHeight="false" outlineLevel="0" collapsed="false">
      <c r="A45" s="5" t="n">
        <v>44</v>
      </c>
      <c r="B45" s="5" t="s">
        <v>281</v>
      </c>
      <c r="C45" s="6" t="n">
        <v>46601</v>
      </c>
      <c r="D45" s="5" t="s">
        <v>192</v>
      </c>
      <c r="E45" s="5"/>
      <c r="F45" s="13" t="s">
        <v>268</v>
      </c>
      <c r="G45" s="13"/>
    </row>
    <row r="46" customFormat="false" ht="15" hidden="false" customHeight="false" outlineLevel="0" collapsed="false">
      <c r="A46" s="5" t="n">
        <v>45</v>
      </c>
      <c r="B46" s="5" t="s">
        <v>281</v>
      </c>
      <c r="C46" s="6" t="n">
        <v>46608</v>
      </c>
      <c r="D46" s="5" t="s">
        <v>196</v>
      </c>
      <c r="E46" s="5"/>
      <c r="F46" s="13" t="s">
        <v>268</v>
      </c>
      <c r="G46" s="13"/>
    </row>
    <row r="47" customFormat="false" ht="15" hidden="false" customHeight="false" outlineLevel="0" collapsed="false">
      <c r="A47" s="8" t="n">
        <v>46</v>
      </c>
      <c r="B47" s="8" t="s">
        <v>281</v>
      </c>
      <c r="C47" s="9" t="n">
        <v>46615</v>
      </c>
      <c r="D47" s="8" t="s">
        <v>200</v>
      </c>
      <c r="E47" s="14" t="s">
        <v>202</v>
      </c>
      <c r="F47" s="13" t="s">
        <v>268</v>
      </c>
      <c r="G47" s="13"/>
    </row>
    <row r="48" customFormat="false" ht="15" hidden="false" customHeight="false" outlineLevel="0" collapsed="false">
      <c r="A48" s="5" t="n">
        <v>47</v>
      </c>
      <c r="B48" s="5" t="s">
        <v>281</v>
      </c>
      <c r="C48" s="6" t="n">
        <v>46622</v>
      </c>
      <c r="D48" s="5" t="s">
        <v>203</v>
      </c>
      <c r="E48" s="5"/>
      <c r="F48" s="13" t="s">
        <v>268</v>
      </c>
      <c r="G48" s="13"/>
    </row>
    <row r="49" customFormat="false" ht="15" hidden="false" customHeight="false" outlineLevel="0" collapsed="false">
      <c r="A49" s="5" t="n">
        <v>48</v>
      </c>
      <c r="B49" s="5" t="s">
        <v>281</v>
      </c>
      <c r="C49" s="6" t="n">
        <v>46629</v>
      </c>
      <c r="D49" s="5" t="s">
        <v>206</v>
      </c>
      <c r="E49" s="5"/>
      <c r="F49" s="13" t="s">
        <v>268</v>
      </c>
      <c r="G49" s="13"/>
    </row>
    <row r="50" customFormat="false" ht="15" hidden="false" customHeight="false" outlineLevel="0" collapsed="false">
      <c r="A50" s="5" t="n">
        <v>49</v>
      </c>
      <c r="B50" s="5" t="s">
        <v>281</v>
      </c>
      <c r="C50" s="6" t="n">
        <v>46636</v>
      </c>
      <c r="D50" s="5" t="s">
        <v>206</v>
      </c>
      <c r="E50" s="5"/>
      <c r="F50" s="13" t="s">
        <v>268</v>
      </c>
      <c r="G50" s="13"/>
    </row>
    <row r="51" customFormat="false" ht="15" hidden="false" customHeight="false" outlineLevel="0" collapsed="false">
      <c r="A51" s="5" t="n">
        <v>50</v>
      </c>
      <c r="B51" s="5" t="s">
        <v>281</v>
      </c>
      <c r="C51" s="6" t="n">
        <v>46643</v>
      </c>
      <c r="D51" s="5" t="s">
        <v>211</v>
      </c>
      <c r="E51" s="5"/>
      <c r="F51" s="13" t="s">
        <v>268</v>
      </c>
      <c r="G51" s="13"/>
    </row>
    <row r="52" customFormat="false" ht="15" hidden="false" customHeight="false" outlineLevel="0" collapsed="false">
      <c r="A52" s="5" t="n">
        <v>51</v>
      </c>
      <c r="B52" s="5" t="s">
        <v>281</v>
      </c>
      <c r="C52" s="6" t="n">
        <v>46650</v>
      </c>
      <c r="D52" s="5" t="s">
        <v>215</v>
      </c>
      <c r="E52" s="5"/>
      <c r="F52" s="13" t="s">
        <v>268</v>
      </c>
      <c r="G52" s="13"/>
    </row>
    <row r="53" customFormat="false" ht="15" hidden="false" customHeight="false" outlineLevel="0" collapsed="false">
      <c r="A53" s="5" t="n">
        <v>52</v>
      </c>
      <c r="B53" s="5" t="s">
        <v>281</v>
      </c>
      <c r="C53" s="6" t="n">
        <v>46657</v>
      </c>
      <c r="D53" s="5" t="s">
        <v>219</v>
      </c>
      <c r="E53" s="5"/>
      <c r="F53" s="13" t="s">
        <v>268</v>
      </c>
      <c r="G53" s="13"/>
    </row>
    <row r="54" customFormat="false" ht="15" hidden="false" customHeight="false" outlineLevel="0" collapsed="false">
      <c r="A54" s="5" t="n">
        <v>53</v>
      </c>
      <c r="B54" s="5" t="s">
        <v>281</v>
      </c>
      <c r="C54" s="6" t="n">
        <v>46664</v>
      </c>
      <c r="D54" s="5" t="s">
        <v>223</v>
      </c>
      <c r="E54" s="5"/>
      <c r="F54" s="13" t="s">
        <v>268</v>
      </c>
      <c r="G54" s="13"/>
    </row>
    <row r="55" customFormat="false" ht="15" hidden="false" customHeight="false" outlineLevel="0" collapsed="false">
      <c r="A55" s="5" t="n">
        <v>54</v>
      </c>
      <c r="B55" s="5" t="s">
        <v>281</v>
      </c>
      <c r="C55" s="6" t="n">
        <v>46671</v>
      </c>
      <c r="D55" s="5" t="s">
        <v>226</v>
      </c>
      <c r="E55" s="5"/>
      <c r="F55" s="13" t="s">
        <v>268</v>
      </c>
      <c r="G55" s="13"/>
    </row>
    <row r="56" customFormat="false" ht="15" hidden="false" customHeight="false" outlineLevel="0" collapsed="false">
      <c r="A56" s="5" t="n">
        <v>55</v>
      </c>
      <c r="B56" s="5" t="s">
        <v>281</v>
      </c>
      <c r="C56" s="6" t="n">
        <v>46678</v>
      </c>
      <c r="D56" s="5" t="s">
        <v>229</v>
      </c>
      <c r="E56" s="5"/>
      <c r="F56" s="13" t="s">
        <v>268</v>
      </c>
      <c r="G56" s="13"/>
    </row>
    <row r="57" customFormat="false" ht="15" hidden="false" customHeight="false" outlineLevel="0" collapsed="false">
      <c r="A57" s="8" t="n">
        <v>56</v>
      </c>
      <c r="B57" s="8" t="s">
        <v>281</v>
      </c>
      <c r="C57" s="9" t="n">
        <v>46685</v>
      </c>
      <c r="D57" s="8" t="s">
        <v>233</v>
      </c>
      <c r="E57" s="14" t="s">
        <v>234</v>
      </c>
      <c r="F57" s="13" t="s">
        <v>268</v>
      </c>
      <c r="G57" s="13"/>
    </row>
    <row r="58" customFormat="false" ht="15" hidden="false" customHeight="false" outlineLevel="0" collapsed="false">
      <c r="A58" s="5" t="n">
        <v>57</v>
      </c>
      <c r="B58" s="5" t="s">
        <v>282</v>
      </c>
      <c r="C58" s="6" t="n">
        <v>46692</v>
      </c>
      <c r="D58" s="5" t="s">
        <v>235</v>
      </c>
      <c r="E58" s="5"/>
      <c r="F58" s="13" t="s">
        <v>268</v>
      </c>
      <c r="G58" s="13"/>
    </row>
    <row r="59" customFormat="false" ht="15" hidden="false" customHeight="false" outlineLevel="0" collapsed="false">
      <c r="A59" s="5" t="n">
        <v>58</v>
      </c>
      <c r="B59" s="5" t="s">
        <v>282</v>
      </c>
      <c r="C59" s="6" t="n">
        <v>46699</v>
      </c>
      <c r="D59" s="5" t="s">
        <v>239</v>
      </c>
      <c r="E59" s="5"/>
      <c r="F59" s="13" t="s">
        <v>268</v>
      </c>
      <c r="G59" s="13"/>
    </row>
    <row r="60" customFormat="false" ht="15" hidden="false" customHeight="false" outlineLevel="0" collapsed="false">
      <c r="A60" s="5" t="n">
        <v>59</v>
      </c>
      <c r="B60" s="5" t="s">
        <v>282</v>
      </c>
      <c r="C60" s="6" t="n">
        <v>46706</v>
      </c>
      <c r="D60" s="5" t="s">
        <v>241</v>
      </c>
      <c r="E60" s="5"/>
      <c r="F60" s="13" t="s">
        <v>268</v>
      </c>
      <c r="G60" s="13"/>
    </row>
    <row r="61" customFormat="false" ht="15" hidden="false" customHeight="false" outlineLevel="0" collapsed="false">
      <c r="A61" s="5" t="n">
        <v>60</v>
      </c>
      <c r="B61" s="5" t="s">
        <v>282</v>
      </c>
      <c r="C61" s="6" t="n">
        <v>46713</v>
      </c>
      <c r="D61" s="5" t="s">
        <v>244</v>
      </c>
      <c r="E61" s="5"/>
      <c r="F61" s="13" t="s">
        <v>268</v>
      </c>
      <c r="G61" s="13"/>
    </row>
    <row r="62" customFormat="false" ht="15" hidden="false" customHeight="false" outlineLevel="0" collapsed="false">
      <c r="A62" s="5" t="n">
        <v>61</v>
      </c>
      <c r="B62" s="5" t="s">
        <v>282</v>
      </c>
      <c r="C62" s="6" t="n">
        <v>46720</v>
      </c>
      <c r="D62" s="5" t="s">
        <v>175</v>
      </c>
      <c r="E62" s="5"/>
      <c r="F62" s="13" t="s">
        <v>268</v>
      </c>
      <c r="G62" s="13"/>
    </row>
    <row r="63" customFormat="false" ht="15" hidden="false" customHeight="false" outlineLevel="0" collapsed="false">
      <c r="A63" s="8" t="n">
        <v>62</v>
      </c>
      <c r="B63" s="8" t="s">
        <v>282</v>
      </c>
      <c r="C63" s="9" t="n">
        <v>46727</v>
      </c>
      <c r="D63" s="8" t="s">
        <v>176</v>
      </c>
      <c r="E63" s="14" t="s">
        <v>251</v>
      </c>
      <c r="F63" s="13" t="s">
        <v>268</v>
      </c>
      <c r="G63" s="13"/>
    </row>
    <row r="64" customFormat="false" ht="15" hidden="false" customHeight="false" outlineLevel="0" collapsed="false">
      <c r="A64" s="5" t="n">
        <v>63</v>
      </c>
      <c r="B64" s="5" t="s">
        <v>282</v>
      </c>
      <c r="C64" s="6" t="n">
        <v>46734</v>
      </c>
      <c r="D64" s="5" t="s">
        <v>252</v>
      </c>
      <c r="E64" s="5"/>
      <c r="F64" s="13" t="s">
        <v>268</v>
      </c>
      <c r="G64" s="13"/>
    </row>
    <row r="65" customFormat="false" ht="15" hidden="false" customHeight="false" outlineLevel="0" collapsed="false">
      <c r="A65" s="5" t="n">
        <v>64</v>
      </c>
      <c r="B65" s="5" t="s">
        <v>282</v>
      </c>
      <c r="C65" s="6" t="n">
        <v>46741</v>
      </c>
      <c r="D65" s="5" t="s">
        <v>256</v>
      </c>
      <c r="E65" s="5"/>
      <c r="F65" s="13" t="s">
        <v>268</v>
      </c>
      <c r="G65" s="13"/>
    </row>
    <row r="66" customFormat="false" ht="15" hidden="false" customHeight="false" outlineLevel="0" collapsed="false">
      <c r="A66" s="5" t="n">
        <v>65</v>
      </c>
      <c r="B66" s="5" t="s">
        <v>282</v>
      </c>
      <c r="C66" s="6" t="n">
        <v>46748</v>
      </c>
      <c r="D66" s="5" t="s">
        <v>260</v>
      </c>
      <c r="E66" s="5" t="s">
        <v>262</v>
      </c>
      <c r="F66" s="13" t="s">
        <v>268</v>
      </c>
      <c r="G66" s="13"/>
    </row>
  </sheetData>
  <autoFilter ref="A1:G66"/>
  <conditionalFormatting sqref="F2:F66">
    <cfRule type="expression" priority="2" aboveAverage="0" equalAverage="0" bottom="0" percent="0" rank="0" text="" dxfId="6">
      <formula>$F2="Trễ"</formula>
    </cfRule>
    <cfRule type="expression" priority="3" aboveAverage="0" equalAverage="0" bottom="0" percent="0" rank="0" text="" dxfId="7">
      <formula>$F2="Xong"</formula>
    </cfRule>
  </conditionalFormatting>
  <dataValidations count="1">
    <dataValidation allowBlank="true" errorStyle="stop" operator="between" showDropDown="false" showErrorMessage="false" showInputMessage="false" sqref="F2:F66" type="list">
      <formula1>"Chưa bắt đầu,Đang làm,Xong,Trễ,Bỏ/Chuyển"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40"/>
  </cols>
  <sheetData>
    <row r="1" customFormat="false" ht="30" hidden="false" customHeight="true" outlineLevel="0" collapsed="false">
      <c r="A1" s="4" t="s">
        <v>16</v>
      </c>
      <c r="B1" s="4" t="s">
        <v>10</v>
      </c>
      <c r="C1" s="4" t="s">
        <v>17</v>
      </c>
      <c r="D1" s="4" t="s">
        <v>283</v>
      </c>
      <c r="E1" s="4" t="s">
        <v>276</v>
      </c>
      <c r="F1" s="4" t="s">
        <v>263</v>
      </c>
      <c r="G1" s="4" t="s">
        <v>277</v>
      </c>
    </row>
    <row r="2" customFormat="false" ht="23.85" hidden="false" customHeight="false" outlineLevel="0" collapsed="false">
      <c r="A2" s="5" t="n">
        <v>1</v>
      </c>
      <c r="B2" s="5" t="s">
        <v>278</v>
      </c>
      <c r="C2" s="6" t="n">
        <v>46300</v>
      </c>
      <c r="D2" s="5" t="s">
        <v>26</v>
      </c>
      <c r="E2" s="5"/>
      <c r="F2" s="13" t="s">
        <v>268</v>
      </c>
      <c r="G2" s="13"/>
    </row>
    <row r="3" customFormat="false" ht="23.85" hidden="false" customHeight="false" outlineLevel="0" collapsed="false">
      <c r="A3" s="5" t="n">
        <v>2</v>
      </c>
      <c r="B3" s="5" t="s">
        <v>278</v>
      </c>
      <c r="C3" s="6" t="n">
        <v>46307</v>
      </c>
      <c r="D3" s="5" t="s">
        <v>30</v>
      </c>
      <c r="E3" s="5"/>
      <c r="F3" s="13" t="s">
        <v>268</v>
      </c>
      <c r="G3" s="13"/>
    </row>
    <row r="4" customFormat="false" ht="23.85" hidden="false" customHeight="false" outlineLevel="0" collapsed="false">
      <c r="A4" s="5" t="n">
        <v>3</v>
      </c>
      <c r="B4" s="5" t="s">
        <v>278</v>
      </c>
      <c r="C4" s="6" t="n">
        <v>46314</v>
      </c>
      <c r="D4" s="5" t="s">
        <v>34</v>
      </c>
      <c r="E4" s="5"/>
      <c r="F4" s="13" t="s">
        <v>268</v>
      </c>
      <c r="G4" s="13"/>
    </row>
    <row r="5" customFormat="false" ht="23.85" hidden="false" customHeight="false" outlineLevel="0" collapsed="false">
      <c r="A5" s="8" t="n">
        <v>4</v>
      </c>
      <c r="B5" s="8" t="s">
        <v>278</v>
      </c>
      <c r="C5" s="9" t="n">
        <v>46321</v>
      </c>
      <c r="D5" s="8" t="s">
        <v>38</v>
      </c>
      <c r="E5" s="14" t="s">
        <v>40</v>
      </c>
      <c r="F5" s="13" t="s">
        <v>268</v>
      </c>
      <c r="G5" s="13"/>
    </row>
    <row r="6" customFormat="false" ht="23.85" hidden="false" customHeight="false" outlineLevel="0" collapsed="false">
      <c r="A6" s="5" t="n">
        <v>5</v>
      </c>
      <c r="B6" s="5" t="s">
        <v>278</v>
      </c>
      <c r="C6" s="6" t="n">
        <v>46328</v>
      </c>
      <c r="D6" s="5" t="s">
        <v>42</v>
      </c>
      <c r="E6" s="5"/>
      <c r="F6" s="13" t="s">
        <v>268</v>
      </c>
      <c r="G6" s="13"/>
    </row>
    <row r="7" customFormat="false" ht="23.85" hidden="false" customHeight="false" outlineLevel="0" collapsed="false">
      <c r="A7" s="5" t="n">
        <v>6</v>
      </c>
      <c r="B7" s="5" t="s">
        <v>278</v>
      </c>
      <c r="C7" s="6" t="n">
        <v>46335</v>
      </c>
      <c r="D7" s="5" t="s">
        <v>46</v>
      </c>
      <c r="E7" s="5"/>
      <c r="F7" s="13" t="s">
        <v>268</v>
      </c>
      <c r="G7" s="13"/>
    </row>
    <row r="8" customFormat="false" ht="23.85" hidden="false" customHeight="false" outlineLevel="0" collapsed="false">
      <c r="A8" s="5" t="n">
        <v>7</v>
      </c>
      <c r="B8" s="5" t="s">
        <v>278</v>
      </c>
      <c r="C8" s="6" t="n">
        <v>46342</v>
      </c>
      <c r="D8" s="5" t="s">
        <v>50</v>
      </c>
      <c r="E8" s="5"/>
      <c r="F8" s="13" t="s">
        <v>268</v>
      </c>
      <c r="G8" s="13"/>
    </row>
    <row r="9" customFormat="false" ht="23.85" hidden="false" customHeight="false" outlineLevel="0" collapsed="false">
      <c r="A9" s="5" t="n">
        <v>8</v>
      </c>
      <c r="B9" s="5" t="s">
        <v>278</v>
      </c>
      <c r="C9" s="6" t="n">
        <v>46349</v>
      </c>
      <c r="D9" s="5" t="s">
        <v>54</v>
      </c>
      <c r="E9" s="5"/>
      <c r="F9" s="13" t="s">
        <v>268</v>
      </c>
      <c r="G9" s="13"/>
    </row>
    <row r="10" customFormat="false" ht="23.85" hidden="false" customHeight="false" outlineLevel="0" collapsed="false">
      <c r="A10" s="5" t="n">
        <v>9</v>
      </c>
      <c r="B10" s="5" t="s">
        <v>278</v>
      </c>
      <c r="C10" s="6" t="n">
        <v>46356</v>
      </c>
      <c r="D10" s="5" t="s">
        <v>58</v>
      </c>
      <c r="E10" s="5"/>
      <c r="F10" s="13" t="s">
        <v>268</v>
      </c>
      <c r="G10" s="13"/>
    </row>
    <row r="11" customFormat="false" ht="23.85" hidden="false" customHeight="false" outlineLevel="0" collapsed="false">
      <c r="A11" s="5" t="n">
        <v>10</v>
      </c>
      <c r="B11" s="5" t="s">
        <v>278</v>
      </c>
      <c r="C11" s="6" t="n">
        <v>46363</v>
      </c>
      <c r="D11" s="5" t="s">
        <v>62</v>
      </c>
      <c r="E11" s="5"/>
      <c r="F11" s="13" t="s">
        <v>268</v>
      </c>
      <c r="G11" s="13"/>
    </row>
    <row r="12" customFormat="false" ht="23.85" hidden="false" customHeight="false" outlineLevel="0" collapsed="false">
      <c r="A12" s="5" t="n">
        <v>11</v>
      </c>
      <c r="B12" s="5" t="s">
        <v>278</v>
      </c>
      <c r="C12" s="6" t="n">
        <v>46370</v>
      </c>
      <c r="D12" s="5" t="s">
        <v>66</v>
      </c>
      <c r="E12" s="5"/>
      <c r="F12" s="13" t="s">
        <v>268</v>
      </c>
      <c r="G12" s="13"/>
    </row>
    <row r="13" customFormat="false" ht="23.85" hidden="false" customHeight="false" outlineLevel="0" collapsed="false">
      <c r="A13" s="5" t="n">
        <v>12</v>
      </c>
      <c r="B13" s="5" t="s">
        <v>278</v>
      </c>
      <c r="C13" s="6" t="n">
        <v>46377</v>
      </c>
      <c r="D13" s="5" t="s">
        <v>70</v>
      </c>
      <c r="E13" s="5"/>
      <c r="F13" s="13" t="s">
        <v>268</v>
      </c>
      <c r="G13" s="13"/>
    </row>
    <row r="14" customFormat="false" ht="23.85" hidden="false" customHeight="false" outlineLevel="0" collapsed="false">
      <c r="A14" s="5" t="n">
        <v>13</v>
      </c>
      <c r="B14" s="5" t="s">
        <v>278</v>
      </c>
      <c r="C14" s="6" t="n">
        <v>46384</v>
      </c>
      <c r="D14" s="5" t="s">
        <v>74</v>
      </c>
      <c r="E14" s="5"/>
      <c r="F14" s="13" t="s">
        <v>268</v>
      </c>
      <c r="G14" s="13"/>
    </row>
    <row r="15" customFormat="false" ht="23.85" hidden="false" customHeight="false" outlineLevel="0" collapsed="false">
      <c r="A15" s="8" t="n">
        <v>14</v>
      </c>
      <c r="B15" s="8" t="s">
        <v>278</v>
      </c>
      <c r="C15" s="9" t="n">
        <v>46391</v>
      </c>
      <c r="D15" s="8" t="s">
        <v>78</v>
      </c>
      <c r="E15" s="14" t="s">
        <v>80</v>
      </c>
      <c r="F15" s="13" t="s">
        <v>268</v>
      </c>
      <c r="G15" s="13"/>
    </row>
    <row r="16" customFormat="false" ht="23.85" hidden="false" customHeight="false" outlineLevel="0" collapsed="false">
      <c r="A16" s="5" t="n">
        <v>15</v>
      </c>
      <c r="B16" s="5" t="s">
        <v>279</v>
      </c>
      <c r="C16" s="6" t="n">
        <v>46398</v>
      </c>
      <c r="D16" s="5" t="s">
        <v>82</v>
      </c>
      <c r="E16" s="5"/>
      <c r="F16" s="13" t="s">
        <v>268</v>
      </c>
      <c r="G16" s="13"/>
    </row>
    <row r="17" customFormat="false" ht="23.85" hidden="false" customHeight="false" outlineLevel="0" collapsed="false">
      <c r="A17" s="5" t="n">
        <v>16</v>
      </c>
      <c r="B17" s="5" t="s">
        <v>279</v>
      </c>
      <c r="C17" s="6" t="n">
        <v>46405</v>
      </c>
      <c r="D17" s="5" t="s">
        <v>86</v>
      </c>
      <c r="E17" s="5"/>
      <c r="F17" s="13" t="s">
        <v>268</v>
      </c>
      <c r="G17" s="13"/>
    </row>
    <row r="18" customFormat="false" ht="23.85" hidden="false" customHeight="false" outlineLevel="0" collapsed="false">
      <c r="A18" s="5" t="n">
        <v>17</v>
      </c>
      <c r="B18" s="5" t="s">
        <v>279</v>
      </c>
      <c r="C18" s="6" t="n">
        <v>46412</v>
      </c>
      <c r="D18" s="5" t="s">
        <v>90</v>
      </c>
      <c r="E18" s="5"/>
      <c r="F18" s="13" t="s">
        <v>268</v>
      </c>
      <c r="G18" s="13"/>
    </row>
    <row r="19" customFormat="false" ht="23.85" hidden="false" customHeight="false" outlineLevel="0" collapsed="false">
      <c r="A19" s="5" t="n">
        <v>18</v>
      </c>
      <c r="B19" s="5" t="s">
        <v>279</v>
      </c>
      <c r="C19" s="6" t="n">
        <v>46419</v>
      </c>
      <c r="D19" s="5" t="s">
        <v>94</v>
      </c>
      <c r="E19" s="5"/>
      <c r="F19" s="13" t="s">
        <v>268</v>
      </c>
      <c r="G19" s="13"/>
    </row>
    <row r="20" customFormat="false" ht="23.85" hidden="false" customHeight="false" outlineLevel="0" collapsed="false">
      <c r="A20" s="5" t="n">
        <v>19</v>
      </c>
      <c r="B20" s="5" t="s">
        <v>279</v>
      </c>
      <c r="C20" s="6" t="n">
        <v>46426</v>
      </c>
      <c r="D20" s="5" t="s">
        <v>97</v>
      </c>
      <c r="E20" s="5"/>
      <c r="F20" s="13" t="s">
        <v>268</v>
      </c>
      <c r="G20" s="13"/>
    </row>
    <row r="21" customFormat="false" ht="23.85" hidden="false" customHeight="false" outlineLevel="0" collapsed="false">
      <c r="A21" s="5" t="n">
        <v>20</v>
      </c>
      <c r="B21" s="5" t="s">
        <v>279</v>
      </c>
      <c r="C21" s="6" t="n">
        <v>46433</v>
      </c>
      <c r="D21" s="5" t="s">
        <v>100</v>
      </c>
      <c r="E21" s="5"/>
      <c r="F21" s="13" t="s">
        <v>268</v>
      </c>
      <c r="G21" s="13"/>
    </row>
    <row r="22" customFormat="false" ht="23.85" hidden="false" customHeight="false" outlineLevel="0" collapsed="false">
      <c r="A22" s="5" t="n">
        <v>21</v>
      </c>
      <c r="B22" s="5" t="s">
        <v>279</v>
      </c>
      <c r="C22" s="6" t="n">
        <v>46440</v>
      </c>
      <c r="D22" s="5" t="s">
        <v>104</v>
      </c>
      <c r="E22" s="5"/>
      <c r="F22" s="13" t="s">
        <v>268</v>
      </c>
      <c r="G22" s="13"/>
    </row>
    <row r="23" customFormat="false" ht="23.85" hidden="false" customHeight="false" outlineLevel="0" collapsed="false">
      <c r="A23" s="5" t="n">
        <v>22</v>
      </c>
      <c r="B23" s="5" t="s">
        <v>279</v>
      </c>
      <c r="C23" s="6" t="n">
        <v>46447</v>
      </c>
      <c r="D23" s="5" t="s">
        <v>108</v>
      </c>
      <c r="E23" s="5"/>
      <c r="F23" s="13" t="s">
        <v>268</v>
      </c>
      <c r="G23" s="13"/>
    </row>
    <row r="24" customFormat="false" ht="23.85" hidden="false" customHeight="false" outlineLevel="0" collapsed="false">
      <c r="A24" s="5" t="n">
        <v>23</v>
      </c>
      <c r="B24" s="5" t="s">
        <v>279</v>
      </c>
      <c r="C24" s="6" t="n">
        <v>46454</v>
      </c>
      <c r="D24" s="5" t="s">
        <v>112</v>
      </c>
      <c r="E24" s="5"/>
      <c r="F24" s="13" t="s">
        <v>268</v>
      </c>
      <c r="G24" s="13"/>
    </row>
    <row r="25" customFormat="false" ht="23.85" hidden="false" customHeight="false" outlineLevel="0" collapsed="false">
      <c r="A25" s="5" t="n">
        <v>24</v>
      </c>
      <c r="B25" s="5" t="s">
        <v>279</v>
      </c>
      <c r="C25" s="6" t="n">
        <v>46461</v>
      </c>
      <c r="D25" s="5" t="s">
        <v>116</v>
      </c>
      <c r="E25" s="5"/>
      <c r="F25" s="13" t="s">
        <v>268</v>
      </c>
      <c r="G25" s="13"/>
    </row>
    <row r="26" customFormat="false" ht="23.85" hidden="false" customHeight="false" outlineLevel="0" collapsed="false">
      <c r="A26" s="5" t="n">
        <v>25</v>
      </c>
      <c r="B26" s="5" t="s">
        <v>279</v>
      </c>
      <c r="C26" s="6" t="n">
        <v>46468</v>
      </c>
      <c r="D26" s="5" t="s">
        <v>120</v>
      </c>
      <c r="E26" s="5"/>
      <c r="F26" s="13" t="s">
        <v>268</v>
      </c>
      <c r="G26" s="13"/>
    </row>
    <row r="27" customFormat="false" ht="23.85" hidden="false" customHeight="false" outlineLevel="0" collapsed="false">
      <c r="A27" s="8" t="n">
        <v>26</v>
      </c>
      <c r="B27" s="8" t="s">
        <v>279</v>
      </c>
      <c r="C27" s="9" t="n">
        <v>46475</v>
      </c>
      <c r="D27" s="8" t="s">
        <v>124</v>
      </c>
      <c r="E27" s="14" t="s">
        <v>126</v>
      </c>
      <c r="F27" s="13" t="s">
        <v>268</v>
      </c>
      <c r="G27" s="13"/>
    </row>
    <row r="28" customFormat="false" ht="15" hidden="false" customHeight="false" outlineLevel="0" collapsed="false">
      <c r="A28" s="5" t="n">
        <v>27</v>
      </c>
      <c r="B28" s="5" t="s">
        <v>280</v>
      </c>
      <c r="C28" s="6" t="n">
        <v>46482</v>
      </c>
      <c r="D28" s="5" t="s">
        <v>128</v>
      </c>
      <c r="E28" s="5"/>
      <c r="F28" s="13" t="s">
        <v>268</v>
      </c>
      <c r="G28" s="13"/>
    </row>
    <row r="29" customFormat="false" ht="15" hidden="false" customHeight="false" outlineLevel="0" collapsed="false">
      <c r="A29" s="5" t="n">
        <v>28</v>
      </c>
      <c r="B29" s="5" t="s">
        <v>280</v>
      </c>
      <c r="C29" s="6" t="n">
        <v>46489</v>
      </c>
      <c r="D29" s="5" t="s">
        <v>132</v>
      </c>
      <c r="E29" s="5"/>
      <c r="F29" s="13" t="s">
        <v>268</v>
      </c>
      <c r="G29" s="13"/>
    </row>
    <row r="30" customFormat="false" ht="15" hidden="false" customHeight="false" outlineLevel="0" collapsed="false">
      <c r="A30" s="5" t="n">
        <v>29</v>
      </c>
      <c r="B30" s="5" t="s">
        <v>280</v>
      </c>
      <c r="C30" s="6" t="n">
        <v>46496</v>
      </c>
      <c r="D30" s="5" t="s">
        <v>136</v>
      </c>
      <c r="E30" s="5"/>
      <c r="F30" s="13" t="s">
        <v>268</v>
      </c>
      <c r="G30" s="13"/>
    </row>
    <row r="31" customFormat="false" ht="15" hidden="false" customHeight="false" outlineLevel="0" collapsed="false">
      <c r="A31" s="5" t="n">
        <v>30</v>
      </c>
      <c r="B31" s="5" t="s">
        <v>280</v>
      </c>
      <c r="C31" s="6" t="n">
        <v>46503</v>
      </c>
      <c r="D31" s="5" t="s">
        <v>140</v>
      </c>
      <c r="E31" s="5"/>
      <c r="F31" s="13" t="s">
        <v>268</v>
      </c>
      <c r="G31" s="13"/>
    </row>
    <row r="32" customFormat="false" ht="15" hidden="false" customHeight="false" outlineLevel="0" collapsed="false">
      <c r="A32" s="5" t="n">
        <v>31</v>
      </c>
      <c r="B32" s="5" t="s">
        <v>280</v>
      </c>
      <c r="C32" s="6" t="n">
        <v>46510</v>
      </c>
      <c r="D32" s="5" t="s">
        <v>144</v>
      </c>
      <c r="E32" s="5"/>
      <c r="F32" s="13" t="s">
        <v>268</v>
      </c>
      <c r="G32" s="13"/>
    </row>
    <row r="33" customFormat="false" ht="15" hidden="false" customHeight="false" outlineLevel="0" collapsed="false">
      <c r="A33" s="5" t="n">
        <v>32</v>
      </c>
      <c r="B33" s="5" t="s">
        <v>280</v>
      </c>
      <c r="C33" s="6" t="n">
        <v>46517</v>
      </c>
      <c r="D33" s="5" t="s">
        <v>147</v>
      </c>
      <c r="E33" s="5"/>
      <c r="F33" s="13" t="s">
        <v>268</v>
      </c>
      <c r="G33" s="13"/>
    </row>
    <row r="34" customFormat="false" ht="15" hidden="false" customHeight="false" outlineLevel="0" collapsed="false">
      <c r="A34" s="5" t="n">
        <v>33</v>
      </c>
      <c r="B34" s="5" t="s">
        <v>280</v>
      </c>
      <c r="C34" s="6" t="n">
        <v>46524</v>
      </c>
      <c r="D34" s="5" t="s">
        <v>151</v>
      </c>
      <c r="E34" s="5"/>
      <c r="F34" s="13" t="s">
        <v>268</v>
      </c>
      <c r="G34" s="13"/>
    </row>
    <row r="35" customFormat="false" ht="15" hidden="false" customHeight="false" outlineLevel="0" collapsed="false">
      <c r="A35" s="5" t="n">
        <v>34</v>
      </c>
      <c r="B35" s="5" t="s">
        <v>280</v>
      </c>
      <c r="C35" s="6" t="n">
        <v>46531</v>
      </c>
      <c r="D35" s="5" t="s">
        <v>155</v>
      </c>
      <c r="E35" s="5"/>
      <c r="F35" s="13" t="s">
        <v>268</v>
      </c>
      <c r="G35" s="13"/>
    </row>
    <row r="36" customFormat="false" ht="15" hidden="false" customHeight="false" outlineLevel="0" collapsed="false">
      <c r="A36" s="5" t="n">
        <v>35</v>
      </c>
      <c r="B36" s="5" t="s">
        <v>280</v>
      </c>
      <c r="C36" s="6" t="n">
        <v>46538</v>
      </c>
      <c r="D36" s="5" t="s">
        <v>159</v>
      </c>
      <c r="E36" s="5"/>
      <c r="F36" s="13" t="s">
        <v>268</v>
      </c>
      <c r="G36" s="13"/>
    </row>
    <row r="37" customFormat="false" ht="15" hidden="false" customHeight="false" outlineLevel="0" collapsed="false">
      <c r="A37" s="8" t="n">
        <v>36</v>
      </c>
      <c r="B37" s="8" t="s">
        <v>280</v>
      </c>
      <c r="C37" s="9" t="n">
        <v>46545</v>
      </c>
      <c r="D37" s="8" t="s">
        <v>162</v>
      </c>
      <c r="E37" s="14" t="s">
        <v>164</v>
      </c>
      <c r="F37" s="13" t="s">
        <v>268</v>
      </c>
      <c r="G37" s="13"/>
    </row>
    <row r="38" customFormat="false" ht="15" hidden="false" customHeight="false" outlineLevel="0" collapsed="false">
      <c r="A38" s="5" t="n">
        <v>37</v>
      </c>
      <c r="B38" s="5" t="s">
        <v>280</v>
      </c>
      <c r="C38" s="6" t="n">
        <v>46552</v>
      </c>
      <c r="D38" s="5" t="s">
        <v>166</v>
      </c>
      <c r="E38" s="5"/>
      <c r="F38" s="13" t="s">
        <v>268</v>
      </c>
      <c r="G38" s="13"/>
    </row>
    <row r="39" customFormat="false" ht="15" hidden="false" customHeight="false" outlineLevel="0" collapsed="false">
      <c r="A39" s="5" t="n">
        <v>38</v>
      </c>
      <c r="B39" s="5" t="s">
        <v>280</v>
      </c>
      <c r="C39" s="6" t="n">
        <v>46559</v>
      </c>
      <c r="D39" s="5" t="s">
        <v>169</v>
      </c>
      <c r="E39" s="5"/>
      <c r="F39" s="13" t="s">
        <v>268</v>
      </c>
      <c r="G39" s="13"/>
    </row>
    <row r="40" customFormat="false" ht="15" hidden="false" customHeight="false" outlineLevel="0" collapsed="false">
      <c r="A40" s="5" t="n">
        <v>39</v>
      </c>
      <c r="B40" s="5" t="s">
        <v>280</v>
      </c>
      <c r="C40" s="6" t="n">
        <v>46566</v>
      </c>
      <c r="D40" s="5" t="s">
        <v>173</v>
      </c>
      <c r="E40" s="5"/>
      <c r="F40" s="13" t="s">
        <v>268</v>
      </c>
      <c r="G40" s="13"/>
    </row>
    <row r="41" customFormat="false" ht="15" hidden="false" customHeight="false" outlineLevel="0" collapsed="false">
      <c r="A41" s="8" t="n">
        <v>40</v>
      </c>
      <c r="B41" s="8" t="s">
        <v>280</v>
      </c>
      <c r="C41" s="9" t="n">
        <v>46573</v>
      </c>
      <c r="D41" s="8" t="s">
        <v>177</v>
      </c>
      <c r="E41" s="14" t="s">
        <v>179</v>
      </c>
      <c r="F41" s="13" t="s">
        <v>268</v>
      </c>
      <c r="G41" s="13"/>
    </row>
    <row r="42" customFormat="false" ht="15" hidden="false" customHeight="false" outlineLevel="0" collapsed="false">
      <c r="A42" s="5" t="n">
        <v>41</v>
      </c>
      <c r="B42" s="5" t="s">
        <v>281</v>
      </c>
      <c r="C42" s="6" t="n">
        <v>46580</v>
      </c>
      <c r="D42" s="5" t="s">
        <v>181</v>
      </c>
      <c r="E42" s="5"/>
      <c r="F42" s="13" t="s">
        <v>268</v>
      </c>
      <c r="G42" s="13"/>
    </row>
    <row r="43" customFormat="false" ht="15" hidden="false" customHeight="false" outlineLevel="0" collapsed="false">
      <c r="A43" s="5" t="n">
        <v>42</v>
      </c>
      <c r="B43" s="5" t="s">
        <v>281</v>
      </c>
      <c r="C43" s="6" t="n">
        <v>46587</v>
      </c>
      <c r="D43" s="5" t="s">
        <v>185</v>
      </c>
      <c r="E43" s="5"/>
      <c r="F43" s="13" t="s">
        <v>268</v>
      </c>
      <c r="G43" s="13"/>
    </row>
    <row r="44" customFormat="false" ht="15" hidden="false" customHeight="false" outlineLevel="0" collapsed="false">
      <c r="A44" s="5" t="n">
        <v>43</v>
      </c>
      <c r="B44" s="5" t="s">
        <v>281</v>
      </c>
      <c r="C44" s="6" t="n">
        <v>46594</v>
      </c>
      <c r="D44" s="5" t="s">
        <v>189</v>
      </c>
      <c r="E44" s="5"/>
      <c r="F44" s="13" t="s">
        <v>268</v>
      </c>
      <c r="G44" s="13"/>
    </row>
    <row r="45" customFormat="false" ht="15" hidden="false" customHeight="false" outlineLevel="0" collapsed="false">
      <c r="A45" s="5" t="n">
        <v>44</v>
      </c>
      <c r="B45" s="5" t="s">
        <v>281</v>
      </c>
      <c r="C45" s="6" t="n">
        <v>46601</v>
      </c>
      <c r="D45" s="5" t="s">
        <v>193</v>
      </c>
      <c r="E45" s="5"/>
      <c r="F45" s="13" t="s">
        <v>268</v>
      </c>
      <c r="G45" s="13"/>
    </row>
    <row r="46" customFormat="false" ht="15" hidden="false" customHeight="false" outlineLevel="0" collapsed="false">
      <c r="A46" s="5" t="n">
        <v>45</v>
      </c>
      <c r="B46" s="5" t="s">
        <v>281</v>
      </c>
      <c r="C46" s="6" t="n">
        <v>46608</v>
      </c>
      <c r="D46" s="5" t="s">
        <v>197</v>
      </c>
      <c r="E46" s="5"/>
      <c r="F46" s="13" t="s">
        <v>268</v>
      </c>
      <c r="G46" s="13"/>
    </row>
    <row r="47" customFormat="false" ht="15" hidden="false" customHeight="false" outlineLevel="0" collapsed="false">
      <c r="A47" s="8" t="n">
        <v>46</v>
      </c>
      <c r="B47" s="8" t="s">
        <v>281</v>
      </c>
      <c r="C47" s="9" t="n">
        <v>46615</v>
      </c>
      <c r="D47" s="8" t="s">
        <v>200</v>
      </c>
      <c r="E47" s="14" t="s">
        <v>202</v>
      </c>
      <c r="F47" s="13" t="s">
        <v>268</v>
      </c>
      <c r="G47" s="13"/>
    </row>
    <row r="48" customFormat="false" ht="15" hidden="false" customHeight="false" outlineLevel="0" collapsed="false">
      <c r="A48" s="5" t="n">
        <v>47</v>
      </c>
      <c r="B48" s="5" t="s">
        <v>281</v>
      </c>
      <c r="C48" s="6" t="n">
        <v>46622</v>
      </c>
      <c r="D48" s="5" t="s">
        <v>204</v>
      </c>
      <c r="E48" s="5"/>
      <c r="F48" s="13" t="s">
        <v>268</v>
      </c>
      <c r="G48" s="13"/>
    </row>
    <row r="49" customFormat="false" ht="15" hidden="false" customHeight="false" outlineLevel="0" collapsed="false">
      <c r="A49" s="5" t="n">
        <v>48</v>
      </c>
      <c r="B49" s="5" t="s">
        <v>281</v>
      </c>
      <c r="C49" s="6" t="n">
        <v>46629</v>
      </c>
      <c r="D49" s="5" t="s">
        <v>207</v>
      </c>
      <c r="E49" s="5"/>
      <c r="F49" s="13" t="s">
        <v>268</v>
      </c>
      <c r="G49" s="13"/>
    </row>
    <row r="50" customFormat="false" ht="15" hidden="false" customHeight="false" outlineLevel="0" collapsed="false">
      <c r="A50" s="5" t="n">
        <v>49</v>
      </c>
      <c r="B50" s="5" t="s">
        <v>281</v>
      </c>
      <c r="C50" s="6" t="n">
        <v>46636</v>
      </c>
      <c r="D50" s="5" t="s">
        <v>209</v>
      </c>
      <c r="E50" s="5"/>
      <c r="F50" s="13" t="s">
        <v>268</v>
      </c>
      <c r="G50" s="13"/>
    </row>
    <row r="51" customFormat="false" ht="15" hidden="false" customHeight="false" outlineLevel="0" collapsed="false">
      <c r="A51" s="5" t="n">
        <v>50</v>
      </c>
      <c r="B51" s="5" t="s">
        <v>281</v>
      </c>
      <c r="C51" s="6" t="n">
        <v>46643</v>
      </c>
      <c r="D51" s="5" t="s">
        <v>212</v>
      </c>
      <c r="E51" s="5"/>
      <c r="F51" s="13" t="s">
        <v>268</v>
      </c>
      <c r="G51" s="13"/>
    </row>
    <row r="52" customFormat="false" ht="15" hidden="false" customHeight="false" outlineLevel="0" collapsed="false">
      <c r="A52" s="5" t="n">
        <v>51</v>
      </c>
      <c r="B52" s="5" t="s">
        <v>281</v>
      </c>
      <c r="C52" s="6" t="n">
        <v>46650</v>
      </c>
      <c r="D52" s="5" t="s">
        <v>216</v>
      </c>
      <c r="E52" s="5"/>
      <c r="F52" s="13" t="s">
        <v>268</v>
      </c>
      <c r="G52" s="13"/>
    </row>
    <row r="53" customFormat="false" ht="15" hidden="false" customHeight="false" outlineLevel="0" collapsed="false">
      <c r="A53" s="5" t="n">
        <v>52</v>
      </c>
      <c r="B53" s="5" t="s">
        <v>281</v>
      </c>
      <c r="C53" s="6" t="n">
        <v>46657</v>
      </c>
      <c r="D53" s="5" t="s">
        <v>220</v>
      </c>
      <c r="E53" s="5"/>
      <c r="F53" s="13" t="s">
        <v>268</v>
      </c>
      <c r="G53" s="13"/>
    </row>
    <row r="54" customFormat="false" ht="15" hidden="false" customHeight="false" outlineLevel="0" collapsed="false">
      <c r="A54" s="5" t="n">
        <v>53</v>
      </c>
      <c r="B54" s="5" t="s">
        <v>281</v>
      </c>
      <c r="C54" s="6" t="n">
        <v>46664</v>
      </c>
      <c r="D54" s="5" t="s">
        <v>224</v>
      </c>
      <c r="E54" s="5"/>
      <c r="F54" s="13" t="s">
        <v>268</v>
      </c>
      <c r="G54" s="13"/>
    </row>
    <row r="55" customFormat="false" ht="15" hidden="false" customHeight="false" outlineLevel="0" collapsed="false">
      <c r="A55" s="5" t="n">
        <v>54</v>
      </c>
      <c r="B55" s="5" t="s">
        <v>281</v>
      </c>
      <c r="C55" s="6" t="n">
        <v>46671</v>
      </c>
      <c r="D55" s="5" t="s">
        <v>227</v>
      </c>
      <c r="E55" s="5"/>
      <c r="F55" s="13" t="s">
        <v>268</v>
      </c>
      <c r="G55" s="13"/>
    </row>
    <row r="56" customFormat="false" ht="15" hidden="false" customHeight="false" outlineLevel="0" collapsed="false">
      <c r="A56" s="5" t="n">
        <v>55</v>
      </c>
      <c r="B56" s="5" t="s">
        <v>281</v>
      </c>
      <c r="C56" s="6" t="n">
        <v>46678</v>
      </c>
      <c r="D56" s="5" t="s">
        <v>230</v>
      </c>
      <c r="E56" s="5"/>
      <c r="F56" s="13" t="s">
        <v>268</v>
      </c>
      <c r="G56" s="13"/>
    </row>
    <row r="57" customFormat="false" ht="15" hidden="false" customHeight="false" outlineLevel="0" collapsed="false">
      <c r="A57" s="8" t="n">
        <v>56</v>
      </c>
      <c r="B57" s="8" t="s">
        <v>281</v>
      </c>
      <c r="C57" s="9" t="n">
        <v>46685</v>
      </c>
      <c r="D57" s="8" t="s">
        <v>233</v>
      </c>
      <c r="E57" s="14" t="s">
        <v>234</v>
      </c>
      <c r="F57" s="13" t="s">
        <v>268</v>
      </c>
      <c r="G57" s="13"/>
    </row>
    <row r="58" customFormat="false" ht="15" hidden="false" customHeight="false" outlineLevel="0" collapsed="false">
      <c r="A58" s="5" t="n">
        <v>57</v>
      </c>
      <c r="B58" s="5" t="s">
        <v>282</v>
      </c>
      <c r="C58" s="6" t="n">
        <v>46692</v>
      </c>
      <c r="D58" s="5" t="s">
        <v>236</v>
      </c>
      <c r="E58" s="5"/>
      <c r="F58" s="13" t="s">
        <v>268</v>
      </c>
      <c r="G58" s="13"/>
    </row>
    <row r="59" customFormat="false" ht="15" hidden="false" customHeight="false" outlineLevel="0" collapsed="false">
      <c r="A59" s="5" t="n">
        <v>58</v>
      </c>
      <c r="B59" s="5" t="s">
        <v>282</v>
      </c>
      <c r="C59" s="6" t="n">
        <v>46699</v>
      </c>
      <c r="D59" s="5" t="s">
        <v>239</v>
      </c>
      <c r="E59" s="5"/>
      <c r="F59" s="13" t="s">
        <v>268</v>
      </c>
      <c r="G59" s="13"/>
    </row>
    <row r="60" customFormat="false" ht="15" hidden="false" customHeight="false" outlineLevel="0" collapsed="false">
      <c r="A60" s="5" t="n">
        <v>59</v>
      </c>
      <c r="B60" s="5" t="s">
        <v>282</v>
      </c>
      <c r="C60" s="6" t="n">
        <v>46706</v>
      </c>
      <c r="D60" s="5" t="s">
        <v>242</v>
      </c>
      <c r="E60" s="5"/>
      <c r="F60" s="13" t="s">
        <v>268</v>
      </c>
      <c r="G60" s="13"/>
    </row>
    <row r="61" customFormat="false" ht="15" hidden="false" customHeight="false" outlineLevel="0" collapsed="false">
      <c r="A61" s="5" t="n">
        <v>60</v>
      </c>
      <c r="B61" s="5" t="s">
        <v>282</v>
      </c>
      <c r="C61" s="6" t="n">
        <v>46713</v>
      </c>
      <c r="D61" s="5" t="s">
        <v>245</v>
      </c>
      <c r="E61" s="5"/>
      <c r="F61" s="13" t="s">
        <v>268</v>
      </c>
      <c r="G61" s="13"/>
    </row>
    <row r="62" customFormat="false" ht="15" hidden="false" customHeight="false" outlineLevel="0" collapsed="false">
      <c r="A62" s="5" t="n">
        <v>61</v>
      </c>
      <c r="B62" s="5" t="s">
        <v>282</v>
      </c>
      <c r="C62" s="6" t="n">
        <v>46720</v>
      </c>
      <c r="D62" s="5" t="s">
        <v>248</v>
      </c>
      <c r="E62" s="5"/>
      <c r="F62" s="13" t="s">
        <v>268</v>
      </c>
      <c r="G62" s="13"/>
    </row>
    <row r="63" customFormat="false" ht="15" hidden="false" customHeight="false" outlineLevel="0" collapsed="false">
      <c r="A63" s="8" t="n">
        <v>62</v>
      </c>
      <c r="B63" s="8" t="s">
        <v>282</v>
      </c>
      <c r="C63" s="9" t="n">
        <v>46727</v>
      </c>
      <c r="D63" s="8" t="s">
        <v>176</v>
      </c>
      <c r="E63" s="14" t="s">
        <v>251</v>
      </c>
      <c r="F63" s="13" t="s">
        <v>268</v>
      </c>
      <c r="G63" s="13"/>
    </row>
    <row r="64" customFormat="false" ht="15" hidden="false" customHeight="false" outlineLevel="0" collapsed="false">
      <c r="A64" s="5" t="n">
        <v>63</v>
      </c>
      <c r="B64" s="5" t="s">
        <v>282</v>
      </c>
      <c r="C64" s="6" t="n">
        <v>46734</v>
      </c>
      <c r="D64" s="5" t="s">
        <v>253</v>
      </c>
      <c r="E64" s="5"/>
      <c r="F64" s="13" t="s">
        <v>268</v>
      </c>
      <c r="G64" s="13"/>
    </row>
    <row r="65" customFormat="false" ht="15" hidden="false" customHeight="false" outlineLevel="0" collapsed="false">
      <c r="A65" s="5" t="n">
        <v>64</v>
      </c>
      <c r="B65" s="5" t="s">
        <v>282</v>
      </c>
      <c r="C65" s="6" t="n">
        <v>46741</v>
      </c>
      <c r="D65" s="5" t="s">
        <v>257</v>
      </c>
      <c r="E65" s="5"/>
      <c r="F65" s="13" t="s">
        <v>268</v>
      </c>
      <c r="G65" s="13"/>
    </row>
    <row r="66" customFormat="false" ht="15" hidden="false" customHeight="false" outlineLevel="0" collapsed="false">
      <c r="A66" s="5" t="n">
        <v>65</v>
      </c>
      <c r="B66" s="5" t="s">
        <v>282</v>
      </c>
      <c r="C66" s="6" t="n">
        <v>46748</v>
      </c>
      <c r="D66" s="5" t="s">
        <v>261</v>
      </c>
      <c r="E66" s="5" t="s">
        <v>262</v>
      </c>
      <c r="F66" s="13" t="s">
        <v>268</v>
      </c>
      <c r="G66" s="13"/>
    </row>
  </sheetData>
  <autoFilter ref="A1:G66"/>
  <conditionalFormatting sqref="F2:F66">
    <cfRule type="expression" priority="2" aboveAverage="0" equalAverage="0" bottom="0" percent="0" rank="0" text="" dxfId="6">
      <formula>$F2="Trễ"</formula>
    </cfRule>
    <cfRule type="expression" priority="3" aboveAverage="0" equalAverage="0" bottom="0" percent="0" rank="0" text="" dxfId="7">
      <formula>$F2="Xong"</formula>
    </cfRule>
  </conditionalFormatting>
  <dataValidations count="1">
    <dataValidation allowBlank="true" errorStyle="stop" operator="between" showDropDown="false" showErrorMessage="false" showInputMessage="false" sqref="F2:F66" type="list">
      <formula1>"Chưa bắt đầu,Đang làm,Xong,Trễ,Bỏ/Chuyển"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40"/>
  </cols>
  <sheetData>
    <row r="1" customFormat="false" ht="30" hidden="false" customHeight="true" outlineLevel="0" collapsed="false">
      <c r="A1" s="4" t="s">
        <v>16</v>
      </c>
      <c r="B1" s="4" t="s">
        <v>10</v>
      </c>
      <c r="C1" s="4" t="s">
        <v>17</v>
      </c>
      <c r="D1" s="4" t="s">
        <v>284</v>
      </c>
      <c r="E1" s="4" t="s">
        <v>276</v>
      </c>
      <c r="F1" s="4" t="s">
        <v>263</v>
      </c>
      <c r="G1" s="4" t="s">
        <v>277</v>
      </c>
    </row>
    <row r="2" customFormat="false" ht="23.85" hidden="false" customHeight="false" outlineLevel="0" collapsed="false">
      <c r="A2" s="5" t="n">
        <v>1</v>
      </c>
      <c r="B2" s="5" t="s">
        <v>278</v>
      </c>
      <c r="C2" s="6" t="n">
        <v>46300</v>
      </c>
      <c r="D2" s="5" t="s">
        <v>27</v>
      </c>
      <c r="E2" s="5"/>
      <c r="F2" s="13" t="s">
        <v>268</v>
      </c>
      <c r="G2" s="13"/>
    </row>
    <row r="3" customFormat="false" ht="23.85" hidden="false" customHeight="false" outlineLevel="0" collapsed="false">
      <c r="A3" s="5" t="n">
        <v>2</v>
      </c>
      <c r="B3" s="5" t="s">
        <v>278</v>
      </c>
      <c r="C3" s="6" t="n">
        <v>46307</v>
      </c>
      <c r="D3" s="5" t="s">
        <v>31</v>
      </c>
      <c r="E3" s="5"/>
      <c r="F3" s="13" t="s">
        <v>268</v>
      </c>
      <c r="G3" s="13"/>
    </row>
    <row r="4" customFormat="false" ht="23.85" hidden="false" customHeight="false" outlineLevel="0" collapsed="false">
      <c r="A4" s="5" t="n">
        <v>3</v>
      </c>
      <c r="B4" s="5" t="s">
        <v>278</v>
      </c>
      <c r="C4" s="6" t="n">
        <v>46314</v>
      </c>
      <c r="D4" s="5" t="s">
        <v>35</v>
      </c>
      <c r="E4" s="5"/>
      <c r="F4" s="13" t="s">
        <v>268</v>
      </c>
      <c r="G4" s="13"/>
    </row>
    <row r="5" customFormat="false" ht="23.85" hidden="false" customHeight="false" outlineLevel="0" collapsed="false">
      <c r="A5" s="8" t="n">
        <v>4</v>
      </c>
      <c r="B5" s="8" t="s">
        <v>278</v>
      </c>
      <c r="C5" s="9" t="n">
        <v>46321</v>
      </c>
      <c r="D5" s="8" t="s">
        <v>39</v>
      </c>
      <c r="E5" s="14" t="s">
        <v>40</v>
      </c>
      <c r="F5" s="13" t="s">
        <v>268</v>
      </c>
      <c r="G5" s="13"/>
    </row>
    <row r="6" customFormat="false" ht="23.85" hidden="false" customHeight="false" outlineLevel="0" collapsed="false">
      <c r="A6" s="5" t="n">
        <v>5</v>
      </c>
      <c r="B6" s="5" t="s">
        <v>278</v>
      </c>
      <c r="C6" s="6" t="n">
        <v>46328</v>
      </c>
      <c r="D6" s="5" t="s">
        <v>43</v>
      </c>
      <c r="E6" s="5"/>
      <c r="F6" s="13" t="s">
        <v>268</v>
      </c>
      <c r="G6" s="13"/>
    </row>
    <row r="7" customFormat="false" ht="23.85" hidden="false" customHeight="false" outlineLevel="0" collapsed="false">
      <c r="A7" s="5" t="n">
        <v>6</v>
      </c>
      <c r="B7" s="5" t="s">
        <v>278</v>
      </c>
      <c r="C7" s="6" t="n">
        <v>46335</v>
      </c>
      <c r="D7" s="5" t="s">
        <v>47</v>
      </c>
      <c r="E7" s="5"/>
      <c r="F7" s="13" t="s">
        <v>268</v>
      </c>
      <c r="G7" s="13"/>
    </row>
    <row r="8" customFormat="false" ht="23.85" hidden="false" customHeight="false" outlineLevel="0" collapsed="false">
      <c r="A8" s="5" t="n">
        <v>7</v>
      </c>
      <c r="B8" s="5" t="s">
        <v>278</v>
      </c>
      <c r="C8" s="6" t="n">
        <v>46342</v>
      </c>
      <c r="D8" s="5" t="s">
        <v>51</v>
      </c>
      <c r="E8" s="5"/>
      <c r="F8" s="13" t="s">
        <v>268</v>
      </c>
      <c r="G8" s="13"/>
    </row>
    <row r="9" customFormat="false" ht="23.85" hidden="false" customHeight="false" outlineLevel="0" collapsed="false">
      <c r="A9" s="5" t="n">
        <v>8</v>
      </c>
      <c r="B9" s="5" t="s">
        <v>278</v>
      </c>
      <c r="C9" s="6" t="n">
        <v>46349</v>
      </c>
      <c r="D9" s="5" t="s">
        <v>55</v>
      </c>
      <c r="E9" s="5"/>
      <c r="F9" s="13" t="s">
        <v>268</v>
      </c>
      <c r="G9" s="13"/>
    </row>
    <row r="10" customFormat="false" ht="23.85" hidden="false" customHeight="false" outlineLevel="0" collapsed="false">
      <c r="A10" s="5" t="n">
        <v>9</v>
      </c>
      <c r="B10" s="5" t="s">
        <v>278</v>
      </c>
      <c r="C10" s="6" t="n">
        <v>46356</v>
      </c>
      <c r="D10" s="5" t="s">
        <v>59</v>
      </c>
      <c r="E10" s="5"/>
      <c r="F10" s="13" t="s">
        <v>268</v>
      </c>
      <c r="G10" s="13"/>
    </row>
    <row r="11" customFormat="false" ht="23.85" hidden="false" customHeight="false" outlineLevel="0" collapsed="false">
      <c r="A11" s="5" t="n">
        <v>10</v>
      </c>
      <c r="B11" s="5" t="s">
        <v>278</v>
      </c>
      <c r="C11" s="6" t="n">
        <v>46363</v>
      </c>
      <c r="D11" s="5" t="s">
        <v>63</v>
      </c>
      <c r="E11" s="5"/>
      <c r="F11" s="13" t="s">
        <v>268</v>
      </c>
      <c r="G11" s="13"/>
    </row>
    <row r="12" customFormat="false" ht="23.85" hidden="false" customHeight="false" outlineLevel="0" collapsed="false">
      <c r="A12" s="5" t="n">
        <v>11</v>
      </c>
      <c r="B12" s="5" t="s">
        <v>278</v>
      </c>
      <c r="C12" s="6" t="n">
        <v>46370</v>
      </c>
      <c r="D12" s="5" t="s">
        <v>67</v>
      </c>
      <c r="E12" s="5"/>
      <c r="F12" s="13" t="s">
        <v>268</v>
      </c>
      <c r="G12" s="13"/>
    </row>
    <row r="13" customFormat="false" ht="23.85" hidden="false" customHeight="false" outlineLevel="0" collapsed="false">
      <c r="A13" s="5" t="n">
        <v>12</v>
      </c>
      <c r="B13" s="5" t="s">
        <v>278</v>
      </c>
      <c r="C13" s="6" t="n">
        <v>46377</v>
      </c>
      <c r="D13" s="5" t="s">
        <v>71</v>
      </c>
      <c r="E13" s="5"/>
      <c r="F13" s="13" t="s">
        <v>268</v>
      </c>
      <c r="G13" s="13"/>
    </row>
    <row r="14" customFormat="false" ht="23.85" hidden="false" customHeight="false" outlineLevel="0" collapsed="false">
      <c r="A14" s="5" t="n">
        <v>13</v>
      </c>
      <c r="B14" s="5" t="s">
        <v>278</v>
      </c>
      <c r="C14" s="6" t="n">
        <v>46384</v>
      </c>
      <c r="D14" s="5" t="s">
        <v>75</v>
      </c>
      <c r="E14" s="5"/>
      <c r="F14" s="13" t="s">
        <v>268</v>
      </c>
      <c r="G14" s="13"/>
    </row>
    <row r="15" customFormat="false" ht="23.85" hidden="false" customHeight="false" outlineLevel="0" collapsed="false">
      <c r="A15" s="8" t="n">
        <v>14</v>
      </c>
      <c r="B15" s="8" t="s">
        <v>278</v>
      </c>
      <c r="C15" s="9" t="n">
        <v>46391</v>
      </c>
      <c r="D15" s="8" t="s">
        <v>79</v>
      </c>
      <c r="E15" s="14" t="s">
        <v>80</v>
      </c>
      <c r="F15" s="13" t="s">
        <v>268</v>
      </c>
      <c r="G15" s="13"/>
    </row>
    <row r="16" customFormat="false" ht="23.85" hidden="false" customHeight="false" outlineLevel="0" collapsed="false">
      <c r="A16" s="5" t="n">
        <v>15</v>
      </c>
      <c r="B16" s="5" t="s">
        <v>279</v>
      </c>
      <c r="C16" s="6" t="n">
        <v>46398</v>
      </c>
      <c r="D16" s="5" t="s">
        <v>83</v>
      </c>
      <c r="E16" s="5"/>
      <c r="F16" s="13" t="s">
        <v>268</v>
      </c>
      <c r="G16" s="13"/>
    </row>
    <row r="17" customFormat="false" ht="23.85" hidden="false" customHeight="false" outlineLevel="0" collapsed="false">
      <c r="A17" s="5" t="n">
        <v>16</v>
      </c>
      <c r="B17" s="5" t="s">
        <v>279</v>
      </c>
      <c r="C17" s="6" t="n">
        <v>46405</v>
      </c>
      <c r="D17" s="5" t="s">
        <v>87</v>
      </c>
      <c r="E17" s="5"/>
      <c r="F17" s="13" t="s">
        <v>268</v>
      </c>
      <c r="G17" s="13"/>
    </row>
    <row r="18" customFormat="false" ht="23.85" hidden="false" customHeight="false" outlineLevel="0" collapsed="false">
      <c r="A18" s="5" t="n">
        <v>17</v>
      </c>
      <c r="B18" s="5" t="s">
        <v>279</v>
      </c>
      <c r="C18" s="6" t="n">
        <v>46412</v>
      </c>
      <c r="D18" s="5" t="s">
        <v>91</v>
      </c>
      <c r="E18" s="5"/>
      <c r="F18" s="13" t="s">
        <v>268</v>
      </c>
      <c r="G18" s="13"/>
    </row>
    <row r="19" customFormat="false" ht="23.85" hidden="false" customHeight="false" outlineLevel="0" collapsed="false">
      <c r="A19" s="5" t="n">
        <v>18</v>
      </c>
      <c r="B19" s="5" t="s">
        <v>279</v>
      </c>
      <c r="C19" s="6" t="n">
        <v>46419</v>
      </c>
      <c r="D19" s="5" t="s">
        <v>95</v>
      </c>
      <c r="E19" s="5"/>
      <c r="F19" s="13" t="s">
        <v>268</v>
      </c>
      <c r="G19" s="13"/>
    </row>
    <row r="20" customFormat="false" ht="23.85" hidden="false" customHeight="false" outlineLevel="0" collapsed="false">
      <c r="A20" s="5" t="n">
        <v>19</v>
      </c>
      <c r="B20" s="5" t="s">
        <v>279</v>
      </c>
      <c r="C20" s="6" t="n">
        <v>46426</v>
      </c>
      <c r="D20" s="5" t="s">
        <v>97</v>
      </c>
      <c r="E20" s="5"/>
      <c r="F20" s="13" t="s">
        <v>268</v>
      </c>
      <c r="G20" s="13"/>
    </row>
    <row r="21" customFormat="false" ht="23.85" hidden="false" customHeight="false" outlineLevel="0" collapsed="false">
      <c r="A21" s="5" t="n">
        <v>20</v>
      </c>
      <c r="B21" s="5" t="s">
        <v>279</v>
      </c>
      <c r="C21" s="6" t="n">
        <v>46433</v>
      </c>
      <c r="D21" s="5" t="s">
        <v>101</v>
      </c>
      <c r="E21" s="5"/>
      <c r="F21" s="13" t="s">
        <v>268</v>
      </c>
      <c r="G21" s="13"/>
    </row>
    <row r="22" customFormat="false" ht="23.85" hidden="false" customHeight="false" outlineLevel="0" collapsed="false">
      <c r="A22" s="5" t="n">
        <v>21</v>
      </c>
      <c r="B22" s="5" t="s">
        <v>279</v>
      </c>
      <c r="C22" s="6" t="n">
        <v>46440</v>
      </c>
      <c r="D22" s="5" t="s">
        <v>105</v>
      </c>
      <c r="E22" s="5"/>
      <c r="F22" s="13" t="s">
        <v>268</v>
      </c>
      <c r="G22" s="13"/>
    </row>
    <row r="23" customFormat="false" ht="23.85" hidden="false" customHeight="false" outlineLevel="0" collapsed="false">
      <c r="A23" s="5" t="n">
        <v>22</v>
      </c>
      <c r="B23" s="5" t="s">
        <v>279</v>
      </c>
      <c r="C23" s="6" t="n">
        <v>46447</v>
      </c>
      <c r="D23" s="5" t="s">
        <v>109</v>
      </c>
      <c r="E23" s="5"/>
      <c r="F23" s="13" t="s">
        <v>268</v>
      </c>
      <c r="G23" s="13"/>
    </row>
    <row r="24" customFormat="false" ht="23.85" hidden="false" customHeight="false" outlineLevel="0" collapsed="false">
      <c r="A24" s="5" t="n">
        <v>23</v>
      </c>
      <c r="B24" s="5" t="s">
        <v>279</v>
      </c>
      <c r="C24" s="6" t="n">
        <v>46454</v>
      </c>
      <c r="D24" s="5" t="s">
        <v>113</v>
      </c>
      <c r="E24" s="5"/>
      <c r="F24" s="13" t="s">
        <v>268</v>
      </c>
      <c r="G24" s="13"/>
    </row>
    <row r="25" customFormat="false" ht="23.85" hidden="false" customHeight="false" outlineLevel="0" collapsed="false">
      <c r="A25" s="5" t="n">
        <v>24</v>
      </c>
      <c r="B25" s="5" t="s">
        <v>279</v>
      </c>
      <c r="C25" s="6" t="n">
        <v>46461</v>
      </c>
      <c r="D25" s="5" t="s">
        <v>117</v>
      </c>
      <c r="E25" s="5"/>
      <c r="F25" s="13" t="s">
        <v>268</v>
      </c>
      <c r="G25" s="13"/>
    </row>
    <row r="26" customFormat="false" ht="23.85" hidden="false" customHeight="false" outlineLevel="0" collapsed="false">
      <c r="A26" s="5" t="n">
        <v>25</v>
      </c>
      <c r="B26" s="5" t="s">
        <v>279</v>
      </c>
      <c r="C26" s="6" t="n">
        <v>46468</v>
      </c>
      <c r="D26" s="5" t="s">
        <v>121</v>
      </c>
      <c r="E26" s="5"/>
      <c r="F26" s="13" t="s">
        <v>268</v>
      </c>
      <c r="G26" s="13"/>
    </row>
    <row r="27" customFormat="false" ht="23.85" hidden="false" customHeight="false" outlineLevel="0" collapsed="false">
      <c r="A27" s="8" t="n">
        <v>26</v>
      </c>
      <c r="B27" s="8" t="s">
        <v>279</v>
      </c>
      <c r="C27" s="9" t="n">
        <v>46475</v>
      </c>
      <c r="D27" s="8" t="s">
        <v>125</v>
      </c>
      <c r="E27" s="14" t="s">
        <v>126</v>
      </c>
      <c r="F27" s="13" t="s">
        <v>268</v>
      </c>
      <c r="G27" s="13"/>
    </row>
    <row r="28" customFormat="false" ht="15" hidden="false" customHeight="false" outlineLevel="0" collapsed="false">
      <c r="A28" s="5" t="n">
        <v>27</v>
      </c>
      <c r="B28" s="5" t="s">
        <v>280</v>
      </c>
      <c r="C28" s="6" t="n">
        <v>46482</v>
      </c>
      <c r="D28" s="5" t="s">
        <v>129</v>
      </c>
      <c r="E28" s="5"/>
      <c r="F28" s="13" t="s">
        <v>268</v>
      </c>
      <c r="G28" s="13"/>
    </row>
    <row r="29" customFormat="false" ht="15" hidden="false" customHeight="false" outlineLevel="0" collapsed="false">
      <c r="A29" s="5" t="n">
        <v>28</v>
      </c>
      <c r="B29" s="5" t="s">
        <v>280</v>
      </c>
      <c r="C29" s="6" t="n">
        <v>46489</v>
      </c>
      <c r="D29" s="5" t="s">
        <v>133</v>
      </c>
      <c r="E29" s="5"/>
      <c r="F29" s="13" t="s">
        <v>268</v>
      </c>
      <c r="G29" s="13"/>
    </row>
    <row r="30" customFormat="false" ht="15" hidden="false" customHeight="false" outlineLevel="0" collapsed="false">
      <c r="A30" s="5" t="n">
        <v>29</v>
      </c>
      <c r="B30" s="5" t="s">
        <v>280</v>
      </c>
      <c r="C30" s="6" t="n">
        <v>46496</v>
      </c>
      <c r="D30" s="5" t="s">
        <v>137</v>
      </c>
      <c r="E30" s="5"/>
      <c r="F30" s="13" t="s">
        <v>268</v>
      </c>
      <c r="G30" s="13"/>
    </row>
    <row r="31" customFormat="false" ht="15" hidden="false" customHeight="false" outlineLevel="0" collapsed="false">
      <c r="A31" s="5" t="n">
        <v>30</v>
      </c>
      <c r="B31" s="5" t="s">
        <v>280</v>
      </c>
      <c r="C31" s="6" t="n">
        <v>46503</v>
      </c>
      <c r="D31" s="5" t="s">
        <v>141</v>
      </c>
      <c r="E31" s="5"/>
      <c r="F31" s="13" t="s">
        <v>268</v>
      </c>
      <c r="G31" s="13"/>
    </row>
    <row r="32" customFormat="false" ht="15" hidden="false" customHeight="false" outlineLevel="0" collapsed="false">
      <c r="A32" s="5" t="n">
        <v>31</v>
      </c>
      <c r="B32" s="5" t="s">
        <v>280</v>
      </c>
      <c r="C32" s="6" t="n">
        <v>46510</v>
      </c>
      <c r="D32" s="5" t="s">
        <v>145</v>
      </c>
      <c r="E32" s="5"/>
      <c r="F32" s="13" t="s">
        <v>268</v>
      </c>
      <c r="G32" s="13"/>
    </row>
    <row r="33" customFormat="false" ht="15" hidden="false" customHeight="false" outlineLevel="0" collapsed="false">
      <c r="A33" s="5" t="n">
        <v>32</v>
      </c>
      <c r="B33" s="5" t="s">
        <v>280</v>
      </c>
      <c r="C33" s="6" t="n">
        <v>46517</v>
      </c>
      <c r="D33" s="5" t="s">
        <v>148</v>
      </c>
      <c r="E33" s="5"/>
      <c r="F33" s="13" t="s">
        <v>268</v>
      </c>
      <c r="G33" s="13"/>
    </row>
    <row r="34" customFormat="false" ht="15" hidden="false" customHeight="false" outlineLevel="0" collapsed="false">
      <c r="A34" s="5" t="n">
        <v>33</v>
      </c>
      <c r="B34" s="5" t="s">
        <v>280</v>
      </c>
      <c r="C34" s="6" t="n">
        <v>46524</v>
      </c>
      <c r="D34" s="5" t="s">
        <v>152</v>
      </c>
      <c r="E34" s="5"/>
      <c r="F34" s="13" t="s">
        <v>268</v>
      </c>
      <c r="G34" s="13"/>
    </row>
    <row r="35" customFormat="false" ht="15" hidden="false" customHeight="false" outlineLevel="0" collapsed="false">
      <c r="A35" s="5" t="n">
        <v>34</v>
      </c>
      <c r="B35" s="5" t="s">
        <v>280</v>
      </c>
      <c r="C35" s="6" t="n">
        <v>46531</v>
      </c>
      <c r="D35" s="5" t="s">
        <v>156</v>
      </c>
      <c r="E35" s="5"/>
      <c r="F35" s="13" t="s">
        <v>268</v>
      </c>
      <c r="G35" s="13"/>
    </row>
    <row r="36" customFormat="false" ht="15" hidden="false" customHeight="false" outlineLevel="0" collapsed="false">
      <c r="A36" s="5" t="n">
        <v>35</v>
      </c>
      <c r="B36" s="5" t="s">
        <v>280</v>
      </c>
      <c r="C36" s="6" t="n">
        <v>46538</v>
      </c>
      <c r="D36" s="5" t="s">
        <v>160</v>
      </c>
      <c r="E36" s="5"/>
      <c r="F36" s="13" t="s">
        <v>268</v>
      </c>
      <c r="G36" s="13"/>
    </row>
    <row r="37" customFormat="false" ht="15" hidden="false" customHeight="false" outlineLevel="0" collapsed="false">
      <c r="A37" s="8" t="n">
        <v>36</v>
      </c>
      <c r="B37" s="8" t="s">
        <v>280</v>
      </c>
      <c r="C37" s="9" t="n">
        <v>46545</v>
      </c>
      <c r="D37" s="8" t="s">
        <v>163</v>
      </c>
      <c r="E37" s="14" t="s">
        <v>164</v>
      </c>
      <c r="F37" s="13" t="s">
        <v>268</v>
      </c>
      <c r="G37" s="13"/>
    </row>
    <row r="38" customFormat="false" ht="15" hidden="false" customHeight="false" outlineLevel="0" collapsed="false">
      <c r="A38" s="5" t="n">
        <v>37</v>
      </c>
      <c r="B38" s="5" t="s">
        <v>280</v>
      </c>
      <c r="C38" s="6" t="n">
        <v>46552</v>
      </c>
      <c r="D38" s="5" t="s">
        <v>167</v>
      </c>
      <c r="E38" s="5"/>
      <c r="F38" s="13" t="s">
        <v>268</v>
      </c>
      <c r="G38" s="13"/>
    </row>
    <row r="39" customFormat="false" ht="15" hidden="false" customHeight="false" outlineLevel="0" collapsed="false">
      <c r="A39" s="5" t="n">
        <v>38</v>
      </c>
      <c r="B39" s="5" t="s">
        <v>280</v>
      </c>
      <c r="C39" s="6" t="n">
        <v>46559</v>
      </c>
      <c r="D39" s="5" t="s">
        <v>170</v>
      </c>
      <c r="E39" s="5"/>
      <c r="F39" s="13" t="s">
        <v>268</v>
      </c>
      <c r="G39" s="13"/>
    </row>
    <row r="40" customFormat="false" ht="15" hidden="false" customHeight="false" outlineLevel="0" collapsed="false">
      <c r="A40" s="5" t="n">
        <v>39</v>
      </c>
      <c r="B40" s="5" t="s">
        <v>280</v>
      </c>
      <c r="C40" s="6" t="n">
        <v>46566</v>
      </c>
      <c r="D40" s="5" t="s">
        <v>174</v>
      </c>
      <c r="E40" s="5"/>
      <c r="F40" s="13" t="s">
        <v>268</v>
      </c>
      <c r="G40" s="13"/>
    </row>
    <row r="41" customFormat="false" ht="15" hidden="false" customHeight="false" outlineLevel="0" collapsed="false">
      <c r="A41" s="8" t="n">
        <v>40</v>
      </c>
      <c r="B41" s="8" t="s">
        <v>280</v>
      </c>
      <c r="C41" s="9" t="n">
        <v>46573</v>
      </c>
      <c r="D41" s="8" t="s">
        <v>178</v>
      </c>
      <c r="E41" s="14" t="s">
        <v>179</v>
      </c>
      <c r="F41" s="13" t="s">
        <v>268</v>
      </c>
      <c r="G41" s="13"/>
    </row>
    <row r="42" customFormat="false" ht="15" hidden="false" customHeight="false" outlineLevel="0" collapsed="false">
      <c r="A42" s="5" t="n">
        <v>41</v>
      </c>
      <c r="B42" s="5" t="s">
        <v>281</v>
      </c>
      <c r="C42" s="6" t="n">
        <v>46580</v>
      </c>
      <c r="D42" s="5" t="s">
        <v>182</v>
      </c>
      <c r="E42" s="5"/>
      <c r="F42" s="13" t="s">
        <v>268</v>
      </c>
      <c r="G42" s="13"/>
    </row>
    <row r="43" customFormat="false" ht="15" hidden="false" customHeight="false" outlineLevel="0" collapsed="false">
      <c r="A43" s="5" t="n">
        <v>42</v>
      </c>
      <c r="B43" s="5" t="s">
        <v>281</v>
      </c>
      <c r="C43" s="6" t="n">
        <v>46587</v>
      </c>
      <c r="D43" s="5" t="s">
        <v>186</v>
      </c>
      <c r="E43" s="5"/>
      <c r="F43" s="13" t="s">
        <v>268</v>
      </c>
      <c r="G43" s="13"/>
    </row>
    <row r="44" customFormat="false" ht="15" hidden="false" customHeight="false" outlineLevel="0" collapsed="false">
      <c r="A44" s="5" t="n">
        <v>43</v>
      </c>
      <c r="B44" s="5" t="s">
        <v>281</v>
      </c>
      <c r="C44" s="6" t="n">
        <v>46594</v>
      </c>
      <c r="D44" s="5" t="s">
        <v>190</v>
      </c>
      <c r="E44" s="5"/>
      <c r="F44" s="13" t="s">
        <v>268</v>
      </c>
      <c r="G44" s="13"/>
    </row>
    <row r="45" customFormat="false" ht="15" hidden="false" customHeight="false" outlineLevel="0" collapsed="false">
      <c r="A45" s="5" t="n">
        <v>44</v>
      </c>
      <c r="B45" s="5" t="s">
        <v>281</v>
      </c>
      <c r="C45" s="6" t="n">
        <v>46601</v>
      </c>
      <c r="D45" s="5" t="s">
        <v>194</v>
      </c>
      <c r="E45" s="5"/>
      <c r="F45" s="13" t="s">
        <v>268</v>
      </c>
      <c r="G45" s="13"/>
    </row>
    <row r="46" customFormat="false" ht="15" hidden="false" customHeight="false" outlineLevel="0" collapsed="false">
      <c r="A46" s="5" t="n">
        <v>45</v>
      </c>
      <c r="B46" s="5" t="s">
        <v>281</v>
      </c>
      <c r="C46" s="6" t="n">
        <v>46608</v>
      </c>
      <c r="D46" s="5" t="s">
        <v>198</v>
      </c>
      <c r="E46" s="5"/>
      <c r="F46" s="13" t="s">
        <v>268</v>
      </c>
      <c r="G46" s="13"/>
    </row>
    <row r="47" customFormat="false" ht="15" hidden="false" customHeight="false" outlineLevel="0" collapsed="false">
      <c r="A47" s="8" t="n">
        <v>46</v>
      </c>
      <c r="B47" s="8" t="s">
        <v>281</v>
      </c>
      <c r="C47" s="9" t="n">
        <v>46615</v>
      </c>
      <c r="D47" s="8" t="s">
        <v>201</v>
      </c>
      <c r="E47" s="14" t="s">
        <v>202</v>
      </c>
      <c r="F47" s="13" t="s">
        <v>268</v>
      </c>
      <c r="G47" s="13"/>
    </row>
    <row r="48" customFormat="false" ht="15" hidden="false" customHeight="false" outlineLevel="0" collapsed="false">
      <c r="A48" s="5" t="n">
        <v>47</v>
      </c>
      <c r="B48" s="5" t="s">
        <v>281</v>
      </c>
      <c r="C48" s="6" t="n">
        <v>46622</v>
      </c>
      <c r="D48" s="5" t="s">
        <v>205</v>
      </c>
      <c r="E48" s="5"/>
      <c r="F48" s="13" t="s">
        <v>268</v>
      </c>
      <c r="G48" s="13"/>
    </row>
    <row r="49" customFormat="false" ht="15" hidden="false" customHeight="false" outlineLevel="0" collapsed="false">
      <c r="A49" s="5" t="n">
        <v>48</v>
      </c>
      <c r="B49" s="5" t="s">
        <v>281</v>
      </c>
      <c r="C49" s="6" t="n">
        <v>46629</v>
      </c>
      <c r="D49" s="5" t="s">
        <v>208</v>
      </c>
      <c r="E49" s="5"/>
      <c r="F49" s="13" t="s">
        <v>268</v>
      </c>
      <c r="G49" s="13"/>
    </row>
    <row r="50" customFormat="false" ht="15" hidden="false" customHeight="false" outlineLevel="0" collapsed="false">
      <c r="A50" s="5" t="n">
        <v>49</v>
      </c>
      <c r="B50" s="5" t="s">
        <v>281</v>
      </c>
      <c r="C50" s="6" t="n">
        <v>46636</v>
      </c>
      <c r="D50" s="5" t="s">
        <v>210</v>
      </c>
      <c r="E50" s="5"/>
      <c r="F50" s="13" t="s">
        <v>268</v>
      </c>
      <c r="G50" s="13"/>
    </row>
    <row r="51" customFormat="false" ht="15" hidden="false" customHeight="false" outlineLevel="0" collapsed="false">
      <c r="A51" s="5" t="n">
        <v>50</v>
      </c>
      <c r="B51" s="5" t="s">
        <v>281</v>
      </c>
      <c r="C51" s="6" t="n">
        <v>46643</v>
      </c>
      <c r="D51" s="5" t="s">
        <v>213</v>
      </c>
      <c r="E51" s="5"/>
      <c r="F51" s="13" t="s">
        <v>268</v>
      </c>
      <c r="G51" s="13"/>
    </row>
    <row r="52" customFormat="false" ht="15" hidden="false" customHeight="false" outlineLevel="0" collapsed="false">
      <c r="A52" s="5" t="n">
        <v>51</v>
      </c>
      <c r="B52" s="5" t="s">
        <v>281</v>
      </c>
      <c r="C52" s="6" t="n">
        <v>46650</v>
      </c>
      <c r="D52" s="5" t="s">
        <v>217</v>
      </c>
      <c r="E52" s="5"/>
      <c r="F52" s="13" t="s">
        <v>268</v>
      </c>
      <c r="G52" s="13"/>
    </row>
    <row r="53" customFormat="false" ht="15" hidden="false" customHeight="false" outlineLevel="0" collapsed="false">
      <c r="A53" s="5" t="n">
        <v>52</v>
      </c>
      <c r="B53" s="5" t="s">
        <v>281</v>
      </c>
      <c r="C53" s="6" t="n">
        <v>46657</v>
      </c>
      <c r="D53" s="5" t="s">
        <v>221</v>
      </c>
      <c r="E53" s="5"/>
      <c r="F53" s="13" t="s">
        <v>268</v>
      </c>
      <c r="G53" s="13"/>
    </row>
    <row r="54" customFormat="false" ht="15" hidden="false" customHeight="false" outlineLevel="0" collapsed="false">
      <c r="A54" s="5" t="n">
        <v>53</v>
      </c>
      <c r="B54" s="5" t="s">
        <v>281</v>
      </c>
      <c r="C54" s="6" t="n">
        <v>46664</v>
      </c>
      <c r="D54" s="5" t="s">
        <v>225</v>
      </c>
      <c r="E54" s="5"/>
      <c r="F54" s="13" t="s">
        <v>268</v>
      </c>
      <c r="G54" s="13"/>
    </row>
    <row r="55" customFormat="false" ht="15" hidden="false" customHeight="false" outlineLevel="0" collapsed="false">
      <c r="A55" s="5" t="n">
        <v>54</v>
      </c>
      <c r="B55" s="5" t="s">
        <v>281</v>
      </c>
      <c r="C55" s="6" t="n">
        <v>46671</v>
      </c>
      <c r="D55" s="5" t="s">
        <v>228</v>
      </c>
      <c r="E55" s="5"/>
      <c r="F55" s="13" t="s">
        <v>268</v>
      </c>
      <c r="G55" s="13"/>
    </row>
    <row r="56" customFormat="false" ht="15" hidden="false" customHeight="false" outlineLevel="0" collapsed="false">
      <c r="A56" s="5" t="n">
        <v>55</v>
      </c>
      <c r="B56" s="5" t="s">
        <v>281</v>
      </c>
      <c r="C56" s="6" t="n">
        <v>46678</v>
      </c>
      <c r="D56" s="5" t="s">
        <v>231</v>
      </c>
      <c r="E56" s="5"/>
      <c r="F56" s="13" t="s">
        <v>268</v>
      </c>
      <c r="G56" s="13"/>
    </row>
    <row r="57" customFormat="false" ht="15" hidden="false" customHeight="false" outlineLevel="0" collapsed="false">
      <c r="A57" s="8" t="n">
        <v>56</v>
      </c>
      <c r="B57" s="8" t="s">
        <v>281</v>
      </c>
      <c r="C57" s="9" t="n">
        <v>46685</v>
      </c>
      <c r="D57" s="8" t="s">
        <v>233</v>
      </c>
      <c r="E57" s="14" t="s">
        <v>234</v>
      </c>
      <c r="F57" s="13" t="s">
        <v>268</v>
      </c>
      <c r="G57" s="13"/>
    </row>
    <row r="58" customFormat="false" ht="15" hidden="false" customHeight="false" outlineLevel="0" collapsed="false">
      <c r="A58" s="5" t="n">
        <v>57</v>
      </c>
      <c r="B58" s="5" t="s">
        <v>282</v>
      </c>
      <c r="C58" s="6" t="n">
        <v>46692</v>
      </c>
      <c r="D58" s="5" t="s">
        <v>237</v>
      </c>
      <c r="E58" s="5"/>
      <c r="F58" s="13" t="s">
        <v>268</v>
      </c>
      <c r="G58" s="13"/>
    </row>
    <row r="59" customFormat="false" ht="15" hidden="false" customHeight="false" outlineLevel="0" collapsed="false">
      <c r="A59" s="5" t="n">
        <v>58</v>
      </c>
      <c r="B59" s="5" t="s">
        <v>282</v>
      </c>
      <c r="C59" s="6" t="n">
        <v>46699</v>
      </c>
      <c r="D59" s="5" t="s">
        <v>240</v>
      </c>
      <c r="E59" s="5"/>
      <c r="F59" s="13" t="s">
        <v>268</v>
      </c>
      <c r="G59" s="13"/>
    </row>
    <row r="60" customFormat="false" ht="15" hidden="false" customHeight="false" outlineLevel="0" collapsed="false">
      <c r="A60" s="5" t="n">
        <v>59</v>
      </c>
      <c r="B60" s="5" t="s">
        <v>282</v>
      </c>
      <c r="C60" s="6" t="n">
        <v>46706</v>
      </c>
      <c r="D60" s="5" t="s">
        <v>243</v>
      </c>
      <c r="E60" s="5"/>
      <c r="F60" s="13" t="s">
        <v>268</v>
      </c>
      <c r="G60" s="13"/>
    </row>
    <row r="61" customFormat="false" ht="15" hidden="false" customHeight="false" outlineLevel="0" collapsed="false">
      <c r="A61" s="5" t="n">
        <v>60</v>
      </c>
      <c r="B61" s="5" t="s">
        <v>282</v>
      </c>
      <c r="C61" s="6" t="n">
        <v>46713</v>
      </c>
      <c r="D61" s="5" t="s">
        <v>246</v>
      </c>
      <c r="E61" s="5"/>
      <c r="F61" s="13" t="s">
        <v>268</v>
      </c>
      <c r="G61" s="13"/>
    </row>
    <row r="62" customFormat="false" ht="15" hidden="false" customHeight="false" outlineLevel="0" collapsed="false">
      <c r="A62" s="5" t="n">
        <v>61</v>
      </c>
      <c r="B62" s="5" t="s">
        <v>282</v>
      </c>
      <c r="C62" s="6" t="n">
        <v>46720</v>
      </c>
      <c r="D62" s="5" t="s">
        <v>249</v>
      </c>
      <c r="E62" s="5"/>
      <c r="F62" s="13" t="s">
        <v>268</v>
      </c>
      <c r="G62" s="13"/>
    </row>
    <row r="63" customFormat="false" ht="15" hidden="false" customHeight="false" outlineLevel="0" collapsed="false">
      <c r="A63" s="8" t="n">
        <v>62</v>
      </c>
      <c r="B63" s="8" t="s">
        <v>282</v>
      </c>
      <c r="C63" s="9" t="n">
        <v>46727</v>
      </c>
      <c r="D63" s="8" t="s">
        <v>250</v>
      </c>
      <c r="E63" s="14" t="s">
        <v>251</v>
      </c>
      <c r="F63" s="13" t="s">
        <v>268</v>
      </c>
      <c r="G63" s="13"/>
    </row>
    <row r="64" customFormat="false" ht="15" hidden="false" customHeight="false" outlineLevel="0" collapsed="false">
      <c r="A64" s="5" t="n">
        <v>63</v>
      </c>
      <c r="B64" s="5" t="s">
        <v>282</v>
      </c>
      <c r="C64" s="6" t="n">
        <v>46734</v>
      </c>
      <c r="D64" s="5" t="s">
        <v>254</v>
      </c>
      <c r="E64" s="5"/>
      <c r="F64" s="13" t="s">
        <v>268</v>
      </c>
      <c r="G64" s="13"/>
    </row>
    <row r="65" customFormat="false" ht="15" hidden="false" customHeight="false" outlineLevel="0" collapsed="false">
      <c r="A65" s="5" t="n">
        <v>64</v>
      </c>
      <c r="B65" s="5" t="s">
        <v>282</v>
      </c>
      <c r="C65" s="6" t="n">
        <v>46741</v>
      </c>
      <c r="D65" s="5" t="s">
        <v>258</v>
      </c>
      <c r="E65" s="5"/>
      <c r="F65" s="13" t="s">
        <v>268</v>
      </c>
      <c r="G65" s="13"/>
    </row>
    <row r="66" customFormat="false" ht="15" hidden="false" customHeight="false" outlineLevel="0" collapsed="false">
      <c r="A66" s="5" t="n">
        <v>65</v>
      </c>
      <c r="B66" s="5" t="s">
        <v>282</v>
      </c>
      <c r="C66" s="6" t="n">
        <v>46748</v>
      </c>
      <c r="D66" s="5" t="s">
        <v>261</v>
      </c>
      <c r="E66" s="5" t="s">
        <v>262</v>
      </c>
      <c r="F66" s="13" t="s">
        <v>268</v>
      </c>
      <c r="G66" s="13"/>
    </row>
  </sheetData>
  <autoFilter ref="A1:G66"/>
  <conditionalFormatting sqref="F2:F66">
    <cfRule type="expression" priority="2" aboveAverage="0" equalAverage="0" bottom="0" percent="0" rank="0" text="" dxfId="6">
      <formula>$F2="Trễ"</formula>
    </cfRule>
    <cfRule type="expression" priority="3" aboveAverage="0" equalAverage="0" bottom="0" percent="0" rank="0" text="" dxfId="7">
      <formula>$F2="Xong"</formula>
    </cfRule>
  </conditionalFormatting>
  <dataValidations count="1">
    <dataValidation allowBlank="true" errorStyle="stop" operator="between" showDropDown="false" showErrorMessage="false" showInputMessage="false" sqref="F2:F66" type="list">
      <formula1>"Chưa bắt đầu,Đang làm,Xong,Trễ,Bỏ/Chuyển"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2026-09-26T11:22:36Z</dcterms:created>
  <dc:creator>openpyxl</dc:creator>
  <dc:description/>
  <dc:language>en-US</dc:language>
  <cp:lastModifiedBy/>
  <dcterms:modified xsi:type="dcterms:W3CDTF">2026-09-26T11:22:36Z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